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20" yWindow="-90" windowWidth="27795" windowHeight="12585"/>
  </bookViews>
  <sheets>
    <sheet name="Inputs" sheetId="1" r:id="rId1"/>
    <sheet name="Return and Risk" sheetId="2" r:id="rId2"/>
    <sheet name="Covariance Matrix" sheetId="3" state="hidden" r:id="rId3"/>
    <sheet name="Correlation Coefficients" sheetId="4" r:id="rId4"/>
    <sheet name="Results" sheetId="5" r:id="rId5"/>
    <sheet name="Graph" sheetId="8" r:id="rId6"/>
  </sheets>
  <calcPr calcId="162913"/>
</workbook>
</file>

<file path=xl/calcChain.xml><?xml version="1.0" encoding="utf-8"?>
<calcChain xmlns="http://schemas.openxmlformats.org/spreadsheetml/2006/main">
  <c r="A503" i="3" l="1" a="1"/>
  <c r="A503" i="3" s="1"/>
  <c r="B517" i="3" s="1" a="1"/>
  <c r="B517" i="3" s="1"/>
  <c r="E9" i="5"/>
  <c r="J9" i="2"/>
  <c r="A516" i="3" l="1" a="1"/>
  <c r="A516" i="3" s="1"/>
  <c r="D516" i="3" s="1" a="1"/>
  <c r="E516" i="3" s="1"/>
  <c r="N513" i="3" a="1"/>
  <c r="N513" i="3" s="1"/>
  <c r="E503" i="3" a="1"/>
  <c r="E504" i="3" s="1"/>
  <c r="A517" i="3" a="1"/>
  <c r="A517" i="3" s="1"/>
  <c r="B516" i="3" a="1"/>
  <c r="B516" i="3" s="1"/>
  <c r="E503" i="3"/>
  <c r="E505" i="3"/>
  <c r="A505" i="3"/>
  <c r="C504" i="3"/>
  <c r="B504" i="3"/>
  <c r="A504" i="3"/>
  <c r="C503" i="3"/>
  <c r="C505" i="3"/>
  <c r="B505" i="3"/>
  <c r="B503" i="3"/>
  <c r="D517" i="3" l="1"/>
  <c r="F505" i="3"/>
  <c r="E517" i="3"/>
  <c r="F503" i="3"/>
  <c r="D516" i="3"/>
  <c r="K503" i="3" s="1" a="1"/>
  <c r="F504" i="3"/>
  <c r="N517" i="3" l="1" a="1"/>
  <c r="N517" i="3" s="1"/>
  <c r="N515" i="3" a="1"/>
  <c r="N515" i="3" s="1"/>
  <c r="L503" i="3"/>
  <c r="L505" i="3"/>
  <c r="K505" i="3"/>
  <c r="L504" i="3"/>
  <c r="K504" i="3"/>
  <c r="K503" i="3"/>
  <c r="P503" i="3" s="1" a="1"/>
  <c r="P503" i="3" l="1"/>
  <c r="P505" i="3"/>
  <c r="P504" i="3"/>
</calcChain>
</file>

<file path=xl/sharedStrings.xml><?xml version="1.0" encoding="utf-8"?>
<sst xmlns="http://schemas.openxmlformats.org/spreadsheetml/2006/main" count="52" uniqueCount="27">
  <si>
    <t>Name of the share</t>
  </si>
  <si>
    <t>Probability</t>
  </si>
  <si>
    <t>1/n</t>
  </si>
  <si>
    <t>....</t>
  </si>
  <si>
    <t>JNJ</t>
  </si>
  <si>
    <t>T</t>
  </si>
  <si>
    <t>IBM</t>
  </si>
  <si>
    <t>Return</t>
  </si>
  <si>
    <t>Dispersion</t>
  </si>
  <si>
    <t>Standard Deviation</t>
  </si>
  <si>
    <t>VaR0.01</t>
  </si>
  <si>
    <t>VaR0.05</t>
  </si>
  <si>
    <t>VaR0.10</t>
  </si>
  <si>
    <t>Skewness</t>
  </si>
  <si>
    <t>Excess Kurtosis</t>
  </si>
  <si>
    <t>Jarque - Bera</t>
  </si>
  <si>
    <t>Weights</t>
  </si>
  <si>
    <t>(E(Rp)-Rf)/s(Rp)</t>
  </si>
  <si>
    <t>JB test</t>
  </si>
  <si>
    <t>go</t>
  </si>
  <si>
    <t>Shares count :3</t>
  </si>
  <si>
    <t>Seasons count :16</t>
  </si>
  <si>
    <t>E(Rp)min =0.0325</t>
  </si>
  <si>
    <t>E(Rp)max =0.0362</t>
  </si>
  <si>
    <t>Riskless rate : Does not apply</t>
  </si>
  <si>
    <t>NA</t>
  </si>
  <si>
    <t>Points count :5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</si>
</sst>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Border="1" applyProtection="1">
      <protection locked="0"/>
    </xf>
    <xf numFmtId="164" fontId="0" fillId="0" borderId="0" xfId="0" applyNumberFormat="1" applyBorder="1"/>
    <xf numFmtId="164" fontId="0" fillId="0" borderId="0" xfId="0" applyNumberFormat="1"/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2" xfId="0" applyBorder="1"/>
    <xf numFmtId="164" fontId="0" fillId="0" borderId="3" xfId="0" applyNumberFormat="1" applyBorder="1"/>
    <xf numFmtId="164" fontId="0" fillId="0" borderId="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0" fontId="0" fillId="0" borderId="6" xfId="0" applyBorder="1" applyAlignment="1">
      <alignment horizontal="center"/>
    </xf>
    <xf numFmtId="0" fontId="1" fillId="0" borderId="6" xfId="0" applyFont="1" applyFill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8" xfId="0" applyFont="1" applyFill="1" applyBorder="1" applyProtection="1">
      <protection locked="0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Border of Investment Opportunities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'Covariance Matrix'!$W$11:$W$20</c:f>
              <c:numCache>
                <c:formatCode>General</c:formatCode>
                <c:ptCount val="10"/>
                <c:pt idx="0">
                  <c:v>4.7111658333715702E-2</c:v>
                </c:pt>
                <c:pt idx="1">
                  <c:v>4.0276825082011421E-2</c:v>
                </c:pt>
                <c:pt idx="2">
                  <c:v>4.0849855718395264E-2</c:v>
                </c:pt>
                <c:pt idx="3">
                  <c:v>4.8569255414642784E-2</c:v>
                </c:pt>
                <c:pt idx="4">
                  <c:v>6.0770126021298408E-2</c:v>
                </c:pt>
                <c:pt idx="5">
                  <c:v>7.530483150202584E-2</c:v>
                </c:pt>
                <c:pt idx="6">
                  <c:v>9.1062620565438943E-2</c:v>
                </c:pt>
                <c:pt idx="7">
                  <c:v>6.563838966438508E-2</c:v>
                </c:pt>
                <c:pt idx="8">
                  <c:v>7.5081342653680702E-2</c:v>
                </c:pt>
                <c:pt idx="9">
                  <c:v>5.7901379392384017E-2</c:v>
                </c:pt>
              </c:numCache>
            </c:numRef>
          </c:xVal>
          <c:yVal>
            <c:numRef>
              <c:f>'Covariance Matrix'!$X$11:$X$20</c:f>
              <c:numCache>
                <c:formatCode>General</c:formatCode>
                <c:ptCount val="10"/>
                <c:pt idx="0">
                  <c:v>3.2500000000000001E-2</c:v>
                </c:pt>
                <c:pt idx="1">
                  <c:v>3.3239999988581986E-2</c:v>
                </c:pt>
                <c:pt idx="2">
                  <c:v>3.3979999977163972E-2</c:v>
                </c:pt>
                <c:pt idx="3">
                  <c:v>3.4719999965745957E-2</c:v>
                </c:pt>
                <c:pt idx="4">
                  <c:v>3.5459999954327942E-2</c:v>
                </c:pt>
                <c:pt idx="5">
                  <c:v>3.6199999942909927E-2</c:v>
                </c:pt>
                <c:pt idx="6">
                  <c:v>3.6939999931491913E-2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EE-4228-9CF4-5B8CE23B404A}"/>
            </c:ext>
          </c:extLst>
        </c:ser>
        <c:ser>
          <c:idx val="1"/>
          <c:order val="1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C0504D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C0504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'Covariance Matrix'!$W$11:$W$20</c:f>
              <c:numCache>
                <c:formatCode>General</c:formatCode>
                <c:ptCount val="10"/>
                <c:pt idx="0">
                  <c:v>4.7111658333715702E-2</c:v>
                </c:pt>
                <c:pt idx="1">
                  <c:v>4.0276825082011421E-2</c:v>
                </c:pt>
                <c:pt idx="2">
                  <c:v>4.0849855718395264E-2</c:v>
                </c:pt>
                <c:pt idx="3">
                  <c:v>4.8569255414642784E-2</c:v>
                </c:pt>
                <c:pt idx="4">
                  <c:v>6.0770126021298408E-2</c:v>
                </c:pt>
                <c:pt idx="5">
                  <c:v>7.530483150202584E-2</c:v>
                </c:pt>
                <c:pt idx="6">
                  <c:v>9.1062620565438943E-2</c:v>
                </c:pt>
                <c:pt idx="7">
                  <c:v>6.563838966438508E-2</c:v>
                </c:pt>
                <c:pt idx="8">
                  <c:v>7.5081342653680702E-2</c:v>
                </c:pt>
                <c:pt idx="9">
                  <c:v>5.7901379392384017E-2</c:v>
                </c:pt>
              </c:numCache>
            </c:numRef>
          </c:xVal>
          <c:yVal>
            <c:numRef>
              <c:f>'Covariance Matrix'!$Y$11:$Y$20</c:f>
              <c:numCache>
                <c:formatCode>General</c:formatCode>
                <c:ptCount val="10"/>
                <c:pt idx="7">
                  <c:v>3.4141567583156909E-2</c:v>
                </c:pt>
                <c:pt idx="8">
                  <c:v>3.6170768233171065E-2</c:v>
                </c:pt>
                <c:pt idx="9">
                  <c:v>3.2477578123292376E-2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85-40AB-A2F3-FA12B02D3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8224"/>
        <c:axId val="217750528"/>
      </c:scatterChart>
      <c:valAx>
        <c:axId val="21774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Risk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7750528"/>
        <c:crosses val="autoZero"/>
        <c:crossBetween val="midCat"/>
      </c:valAx>
      <c:valAx>
        <c:axId val="217750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7748224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9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66675</xdr:rowOff>
    </xdr:from>
    <xdr:to>
      <xdr:col>8</xdr:col>
      <xdr:colOff>333375</xdr:colOff>
      <xdr:row>5</xdr:row>
      <xdr:rowOff>114300</xdr:rowOff>
    </xdr:to>
    <xdr:sp macro="[0]!mainprocedure" textlink="">
      <xdr:nvSpPr>
        <xdr:cNvPr id="2" name="TextBox 1"/>
        <xdr:cNvSpPr txBox="1"/>
      </xdr:nvSpPr>
      <xdr:spPr>
        <a:xfrm>
          <a:off x="2771775" y="257175"/>
          <a:ext cx="2438400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k-SK" sz="1100"/>
        </a:p>
        <a:p>
          <a:pPr algn="l"/>
          <a:r>
            <a:rPr lang="sk-SK" sz="800"/>
            <a:t>Version 1.0</a:t>
          </a:r>
        </a:p>
        <a:p>
          <a:pPr algn="ctr"/>
          <a:r>
            <a:rPr lang="sk-SK" sz="2000"/>
            <a:t>MENU</a:t>
          </a:r>
        </a:p>
        <a:p>
          <a:endParaRPr lang="sk-S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4586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20"/>
  <sheetViews>
    <sheetView tabSelected="1" workbookViewId="0">
      <selection activeCell="B4" sqref="B4"/>
    </sheetView>
  </sheetViews>
  <sheetFormatPr defaultRowHeight="15" x14ac:dyDescent="0.25"/>
  <cols>
    <col min="1" max="1" width="27.140625" style="2" bestFit="1" customWidth="1"/>
    <col min="2" max="16384" width="9.140625" style="2"/>
  </cols>
  <sheetData>
    <row r="1" spans="1:61" x14ac:dyDescent="0.25">
      <c r="A1" s="2" t="s">
        <v>20</v>
      </c>
    </row>
    <row r="2" spans="1:61" x14ac:dyDescent="0.25">
      <c r="A2" s="2" t="s">
        <v>21</v>
      </c>
    </row>
    <row r="3" spans="1:61" x14ac:dyDescent="0.25">
      <c r="A3" s="2" t="s">
        <v>24</v>
      </c>
    </row>
    <row r="4" spans="1:61" x14ac:dyDescent="0.25">
      <c r="A4" s="2" t="s">
        <v>26</v>
      </c>
    </row>
    <row r="5" spans="1:61" x14ac:dyDescent="0.25">
      <c r="A5" s="2" t="s">
        <v>22</v>
      </c>
    </row>
    <row r="6" spans="1:61" x14ac:dyDescent="0.25">
      <c r="A6" s="2" t="s">
        <v>23</v>
      </c>
    </row>
    <row r="9" spans="1:61" x14ac:dyDescent="0.25">
      <c r="A9" s="3"/>
      <c r="B9" s="4" t="s">
        <v>1</v>
      </c>
      <c r="C9" s="3"/>
      <c r="D9" s="3"/>
      <c r="E9" s="3"/>
      <c r="F9" s="3"/>
      <c r="G9" s="3"/>
      <c r="H9" s="3"/>
      <c r="I9" s="3"/>
      <c r="J9" s="3"/>
      <c r="K9" s="3"/>
    </row>
    <row r="10" spans="1:61" x14ac:dyDescent="0.25">
      <c r="A10" s="3" t="s">
        <v>0</v>
      </c>
      <c r="B10" s="3" t="s">
        <v>2</v>
      </c>
      <c r="C10" s="3" t="s">
        <v>2</v>
      </c>
      <c r="D10" s="3" t="s">
        <v>2</v>
      </c>
      <c r="E10" s="3" t="s">
        <v>2</v>
      </c>
      <c r="F10" s="3" t="s">
        <v>2</v>
      </c>
      <c r="G10" s="3" t="s">
        <v>2</v>
      </c>
      <c r="H10" s="3" t="s">
        <v>2</v>
      </c>
      <c r="I10" s="3" t="s">
        <v>2</v>
      </c>
      <c r="J10" s="3" t="s">
        <v>2</v>
      </c>
      <c r="K10" s="3" t="s">
        <v>2</v>
      </c>
      <c r="L10" s="2" t="s">
        <v>3</v>
      </c>
    </row>
    <row r="11" spans="1:61" s="6" customFormat="1" x14ac:dyDescent="0.25">
      <c r="A11" s="5" t="s">
        <v>4</v>
      </c>
      <c r="B11" s="2">
        <v>-1.0220724149179072E-2</v>
      </c>
      <c r="C11" s="2">
        <v>-2.0616319444444198E-3</v>
      </c>
      <c r="D11" s="2">
        <v>0.10530103142240343</v>
      </c>
      <c r="E11" s="2">
        <v>0.16225257875662114</v>
      </c>
      <c r="F11" s="2">
        <v>5.2986936738588009E-2</v>
      </c>
      <c r="G11" s="2">
        <v>3.2429155932717002E-2</v>
      </c>
      <c r="H11" s="2">
        <v>7.3706475756589507E-2</v>
      </c>
      <c r="I11" s="2">
        <v>-3.5667963683527759E-3</v>
      </c>
      <c r="J11" s="2">
        <v>3.2992798526209954E-2</v>
      </c>
      <c r="K11" s="2">
        <v>2.6868178001679954E-3</v>
      </c>
      <c r="L11" s="2">
        <v>-5.5110220440882651E-3</v>
      </c>
      <c r="M11" s="2">
        <v>0.10950528071150645</v>
      </c>
      <c r="N11" s="2">
        <v>-5.431925705274232E-2</v>
      </c>
      <c r="O11" s="2">
        <v>0.1077251552795031</v>
      </c>
      <c r="P11" s="2">
        <v>-8.8464260438782749E-2</v>
      </c>
      <c r="Q11" s="2">
        <v>3.0822542403793562E-2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</row>
    <row r="12" spans="1:61" s="8" customFormat="1" x14ac:dyDescent="0.25">
      <c r="A12" s="7" t="s">
        <v>5</v>
      </c>
      <c r="B12">
        <v>-3.4434490481522917E-2</v>
      </c>
      <c r="C12">
        <v>3.9883551673944639E-2</v>
      </c>
      <c r="D12">
        <v>-4.6363131593559204E-2</v>
      </c>
      <c r="E12">
        <v>8.9534180278281861E-2</v>
      </c>
      <c r="F12">
        <v>1.8798151001540919E-2</v>
      </c>
      <c r="G12">
        <v>-7.7076222980659637E-2</v>
      </c>
      <c r="H12">
        <v>0.16655607166556052</v>
      </c>
      <c r="I12">
        <v>0.13478915662650603</v>
      </c>
      <c r="J12">
        <v>1.8014564967420377E-2</v>
      </c>
      <c r="K12">
        <v>1.7153996101364477E-2</v>
      </c>
      <c r="L12">
        <v>-4.6822742474916468E-2</v>
      </c>
      <c r="M12">
        <v>0.14705882352941169</v>
      </c>
      <c r="N12">
        <v>-2.1276595744680771E-2</v>
      </c>
      <c r="O12">
        <v>0.11540251279664959</v>
      </c>
      <c r="P12">
        <v>1.3201320132013139E-2</v>
      </c>
      <c r="Q12">
        <v>4.4313146233382783E-2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</row>
    <row r="13" spans="1:61" s="6" customFormat="1" x14ac:dyDescent="0.25">
      <c r="A13" s="5" t="s">
        <v>6</v>
      </c>
      <c r="B13" s="2">
        <v>4.0841514726507766E-2</v>
      </c>
      <c r="C13" s="2">
        <v>-7.6568409055587261E-2</v>
      </c>
      <c r="D13" s="2">
        <v>-3.2528067361668023E-2</v>
      </c>
      <c r="E13" s="2">
        <v>1.6064257028114426E-3</v>
      </c>
      <c r="F13" s="2">
        <v>4.842105263157892E-2</v>
      </c>
      <c r="G13" s="2">
        <v>-3.1479538300104304E-3</v>
      </c>
      <c r="H13" s="2">
        <v>-4.9613562702568004E-2</v>
      </c>
      <c r="I13" s="2">
        <v>7.9328346160056018E-2</v>
      </c>
      <c r="J13" s="2">
        <v>4.7406989853438608E-2</v>
      </c>
      <c r="K13" s="2">
        <v>1.9657431888723043E-2</v>
      </c>
      <c r="L13" s="2">
        <v>7.0843848095032858E-2</v>
      </c>
      <c r="M13" s="2">
        <v>5.7127984904678186E-2</v>
      </c>
      <c r="N13" s="2">
        <v>0.13315638133156393</v>
      </c>
      <c r="O13" s="2">
        <v>0.12397447584320864</v>
      </c>
      <c r="P13" s="2">
        <v>4.1452495440230663E-4</v>
      </c>
      <c r="Q13" s="2">
        <v>5.8720266830510015E-2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</row>
    <row r="14" spans="1:61" s="6" customFormat="1" x14ac:dyDescent="0.25">
      <c r="A14" s="5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</row>
    <row r="15" spans="1:61" s="6" customFormat="1" x14ac:dyDescent="0.25">
      <c r="A15" s="5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</row>
    <row r="16" spans="1:61" s="6" customFormat="1" x14ac:dyDescent="0.25">
      <c r="A16" s="5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</row>
    <row r="17" spans="1:61" s="6" customFormat="1" x14ac:dyDescent="0.25">
      <c r="A17" s="5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</row>
    <row r="18" spans="1:61" s="6" customFormat="1" x14ac:dyDescent="0.25">
      <c r="A18" s="5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</row>
    <row r="19" spans="1:61" s="6" customFormat="1" x14ac:dyDescent="0.25">
      <c r="A19" s="5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</row>
    <row r="20" spans="1:61" s="6" customFormat="1" x14ac:dyDescent="0.25">
      <c r="A20" s="5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9:K1000"/>
  <sheetViews>
    <sheetView workbookViewId="0"/>
  </sheetViews>
  <sheetFormatPr defaultRowHeight="15" x14ac:dyDescent="0.25"/>
  <cols>
    <col min="1" max="1" width="17.5703125" style="1" bestFit="1" customWidth="1"/>
    <col min="2" max="2" width="7" style="1" bestFit="1" customWidth="1"/>
    <col min="3" max="3" width="10.42578125" style="1" bestFit="1" customWidth="1"/>
    <col min="4" max="4" width="18.140625" style="1" bestFit="1" customWidth="1"/>
    <col min="5" max="7" width="8" style="1" bestFit="1" customWidth="1"/>
    <col min="8" max="8" width="9.7109375" style="1" bestFit="1" customWidth="1"/>
    <col min="9" max="9" width="14.42578125" style="1" bestFit="1" customWidth="1"/>
    <col min="10" max="10" width="12.42578125" style="1" bestFit="1" customWidth="1"/>
    <col min="11" max="11" width="12.85546875" style="1" bestFit="1" customWidth="1"/>
    <col min="12" max="16384" width="9.140625" style="1"/>
  </cols>
  <sheetData>
    <row r="9" spans="1:11" x14ac:dyDescent="0.25">
      <c r="A9" s="11"/>
      <c r="B9" s="11"/>
      <c r="C9" s="11"/>
      <c r="D9" s="11"/>
      <c r="E9" s="12"/>
      <c r="F9" s="12"/>
      <c r="G9" s="12"/>
      <c r="H9" s="12"/>
      <c r="I9" s="12"/>
      <c r="J9" s="12">
        <f>CHIINV(0.05,2)</f>
        <v>5.9914645471079817</v>
      </c>
      <c r="K9" s="9"/>
    </row>
    <row r="10" spans="1:11" x14ac:dyDescent="0.25">
      <c r="A10" s="18" t="s">
        <v>0</v>
      </c>
      <c r="B10" s="22" t="s">
        <v>7</v>
      </c>
      <c r="C10" s="22" t="s">
        <v>8</v>
      </c>
      <c r="D10" s="22" t="s">
        <v>9</v>
      </c>
      <c r="E10" s="13" t="s">
        <v>10</v>
      </c>
      <c r="F10" s="13" t="s">
        <v>11</v>
      </c>
      <c r="G10" s="13" t="s">
        <v>12</v>
      </c>
      <c r="H10" s="13" t="s">
        <v>13</v>
      </c>
      <c r="I10" s="13" t="s">
        <v>14</v>
      </c>
      <c r="J10" s="13" t="s">
        <v>15</v>
      </c>
    </row>
    <row r="11" spans="1:11" x14ac:dyDescent="0.25">
      <c r="A11" s="19" t="s">
        <v>4</v>
      </c>
      <c r="B11" s="15">
        <v>3.4141567583156909E-2</v>
      </c>
      <c r="C11" s="15">
        <v>4.3083981977336538E-3</v>
      </c>
      <c r="D11" s="15">
        <v>6.563838966438508E-2</v>
      </c>
      <c r="E11" s="15">
        <v>-0.11855616066536891</v>
      </c>
      <c r="F11" s="15">
        <v>-7.3823975726746205E-2</v>
      </c>
      <c r="G11" s="15">
        <v>-4.9977413480954011E-2</v>
      </c>
      <c r="H11" s="15">
        <v>0.12750721460364997</v>
      </c>
      <c r="I11" s="15">
        <v>-0.63884185047519004</v>
      </c>
      <c r="J11" s="15">
        <v>0.31543417934832674</v>
      </c>
      <c r="K11" s="9"/>
    </row>
    <row r="12" spans="1:11" x14ac:dyDescent="0.25">
      <c r="A12" s="20" t="s">
        <v>5</v>
      </c>
      <c r="B12" s="16">
        <v>3.6170768233171065E-2</v>
      </c>
      <c r="C12" s="16">
        <v>5.6372080146794134E-3</v>
      </c>
      <c r="D12" s="16">
        <v>7.5081342653680702E-2</v>
      </c>
      <c r="E12" s="16">
        <v>-0.13849455362628457</v>
      </c>
      <c r="F12" s="16">
        <v>-8.732705055076545E-2</v>
      </c>
      <c r="G12" s="16">
        <v>-6.0049844022036045E-2</v>
      </c>
      <c r="H12" s="16">
        <v>0.31992623310368601</v>
      </c>
      <c r="I12" s="16">
        <v>-1.1601796364653583</v>
      </c>
      <c r="J12" s="16">
        <v>1.1702853115870313</v>
      </c>
      <c r="K12" s="9"/>
    </row>
    <row r="13" spans="1:11" x14ac:dyDescent="0.25">
      <c r="A13" s="21" t="s">
        <v>6</v>
      </c>
      <c r="B13" s="17">
        <v>3.2477578123292376E-2</v>
      </c>
      <c r="C13" s="17">
        <v>3.3525697355407929E-3</v>
      </c>
      <c r="D13" s="17">
        <v>5.7901379392384017E-2</v>
      </c>
      <c r="E13" s="17">
        <v>-0.1022211727278476</v>
      </c>
      <c r="F13" s="17">
        <v>-6.2761715778573535E-2</v>
      </c>
      <c r="G13" s="17">
        <v>-4.1726025310577494E-2</v>
      </c>
      <c r="H13" s="17">
        <v>-8.4987871179412602E-2</v>
      </c>
      <c r="I13" s="17">
        <v>-0.69243870614879732</v>
      </c>
      <c r="J13" s="17">
        <v>0.33890874317563613</v>
      </c>
      <c r="K13" s="9"/>
    </row>
    <row r="14" spans="1:11" x14ac:dyDescent="0.25">
      <c r="A14" s="5"/>
    </row>
    <row r="15" spans="1:11" x14ac:dyDescent="0.25">
      <c r="A15" s="5"/>
    </row>
    <row r="16" spans="1:11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65002"/>
  <sheetViews>
    <sheetView topLeftCell="Q4" workbookViewId="0">
      <selection activeCell="W18" sqref="W18:W20"/>
    </sheetView>
  </sheetViews>
  <sheetFormatPr defaultRowHeight="15" x14ac:dyDescent="0.25"/>
  <sheetData>
    <row r="1" spans="1:24" x14ac:dyDescent="0.25">
      <c r="A1">
        <v>4.3083981977336538E-3</v>
      </c>
      <c r="B1">
        <v>2.0823783056549382E-3</v>
      </c>
      <c r="C1">
        <v>-4.8426492440163622E-4</v>
      </c>
    </row>
    <row r="2" spans="1:24" x14ac:dyDescent="0.25">
      <c r="A2">
        <v>2.0823783056549382E-3</v>
      </c>
      <c r="B2">
        <v>5.6372080146794134E-3</v>
      </c>
      <c r="C2">
        <v>1.5564312136689016E-4</v>
      </c>
    </row>
    <row r="3" spans="1:24" x14ac:dyDescent="0.25">
      <c r="A3">
        <v>-4.8426492440163622E-4</v>
      </c>
      <c r="B3">
        <v>1.5564312136689016E-4</v>
      </c>
      <c r="C3">
        <v>3.3525697355407925E-3</v>
      </c>
    </row>
    <row r="11" spans="1:24" x14ac:dyDescent="0.25">
      <c r="W11">
        <v>4.7111658333715702E-2</v>
      </c>
      <c r="X11">
        <v>3.2500000000000001E-2</v>
      </c>
    </row>
    <row r="12" spans="1:24" x14ac:dyDescent="0.25">
      <c r="W12">
        <v>4.0276825082011421E-2</v>
      </c>
      <c r="X12">
        <v>3.3239999988581986E-2</v>
      </c>
    </row>
    <row r="13" spans="1:24" x14ac:dyDescent="0.25">
      <c r="W13">
        <v>4.0849855718395264E-2</v>
      </c>
      <c r="X13">
        <v>3.3979999977163972E-2</v>
      </c>
    </row>
    <row r="14" spans="1:24" x14ac:dyDescent="0.25">
      <c r="W14">
        <v>4.8569255414642784E-2</v>
      </c>
      <c r="X14">
        <v>3.4719999965745957E-2</v>
      </c>
    </row>
    <row r="15" spans="1:24" x14ac:dyDescent="0.25">
      <c r="W15">
        <v>6.0770126021298408E-2</v>
      </c>
      <c r="X15">
        <v>3.5459999954327942E-2</v>
      </c>
    </row>
    <row r="16" spans="1:24" x14ac:dyDescent="0.25">
      <c r="W16">
        <v>7.530483150202584E-2</v>
      </c>
      <c r="X16">
        <v>3.6199999942909927E-2</v>
      </c>
    </row>
    <row r="17" spans="23:25" x14ac:dyDescent="0.25">
      <c r="W17">
        <v>9.1062620565438943E-2</v>
      </c>
      <c r="X17">
        <v>3.6939999931491913E-2</v>
      </c>
    </row>
    <row r="18" spans="23:25" x14ac:dyDescent="0.25">
      <c r="W18">
        <v>6.563838966438508E-2</v>
      </c>
      <c r="Y18">
        <v>3.4141567583156909E-2</v>
      </c>
    </row>
    <row r="19" spans="23:25" x14ac:dyDescent="0.25">
      <c r="W19">
        <v>7.5081342653680702E-2</v>
      </c>
      <c r="Y19">
        <v>3.6170768233171065E-2</v>
      </c>
    </row>
    <row r="20" spans="23:25" x14ac:dyDescent="0.25">
      <c r="W20">
        <v>5.7901379392384017E-2</v>
      </c>
      <c r="Y20">
        <v>3.2477578123292376E-2</v>
      </c>
    </row>
    <row r="503" spans="1:16" x14ac:dyDescent="0.25">
      <c r="A503" t="e">
        <f t="array" ref="A503:C505">MINVERSE(ccko)</f>
        <v>#NAME?</v>
      </c>
      <c r="B503" t="e">
        <v>#NAME?</v>
      </c>
      <c r="C503" t="e">
        <v>#NAME?</v>
      </c>
      <c r="E503" t="e">
        <f t="array" ref="E503:E505">MMULT(cckominus1,emale)</f>
        <v>#NAME?</v>
      </c>
      <c r="F503" t="e">
        <f>gmvpcitatel/gmvpmenovatel</f>
        <v>#NAME?</v>
      </c>
      <c r="H503">
        <v>3.4141567583156909E-2</v>
      </c>
      <c r="I503">
        <v>1</v>
      </c>
      <c r="K503" t="e">
        <f t="array" ref="K503:L505">MMULT(MMULT(cckominus1,Evelkeemale),Anaminus1)</f>
        <v>#NAME?</v>
      </c>
      <c r="L503" t="e">
        <v>#NAME?</v>
      </c>
      <c r="N503">
        <v>3.6939999931491913E-2</v>
      </c>
      <c r="P503" t="e">
        <f t="array" ref="P503:P505">MMULT(cudo,Epcko)</f>
        <v>#NAME?</v>
      </c>
    </row>
    <row r="504" spans="1:16" x14ac:dyDescent="0.25">
      <c r="A504" t="e">
        <v>#NAME?</v>
      </c>
      <c r="B504" t="e">
        <v>#NAME?</v>
      </c>
      <c r="C504" t="e">
        <v>#NAME?</v>
      </c>
      <c r="E504" t="e">
        <v>#NAME?</v>
      </c>
      <c r="F504" t="e">
        <f>gmvpcitatel/gmvpmenovatel</f>
        <v>#NAME?</v>
      </c>
      <c r="H504">
        <v>3.6170768233171065E-2</v>
      </c>
      <c r="I504">
        <v>1</v>
      </c>
      <c r="K504" t="e">
        <v>#NAME?</v>
      </c>
      <c r="L504" t="e">
        <v>#NAME?</v>
      </c>
      <c r="N504">
        <v>1</v>
      </c>
      <c r="P504" t="e">
        <v>#NAME?</v>
      </c>
    </row>
    <row r="505" spans="1:16" x14ac:dyDescent="0.25">
      <c r="A505" t="e">
        <v>#NAME?</v>
      </c>
      <c r="B505" t="e">
        <v>#NAME?</v>
      </c>
      <c r="C505" t="e">
        <v>#NAME?</v>
      </c>
      <c r="E505" t="e">
        <v>#NAME?</v>
      </c>
      <c r="F505" t="e">
        <f>gmvpcitatel/gmvpmenovatel</f>
        <v>#NAME?</v>
      </c>
      <c r="H505">
        <v>3.2477578123292376E-2</v>
      </c>
      <c r="I505">
        <v>1</v>
      </c>
      <c r="K505" t="e">
        <v>#NAME?</v>
      </c>
      <c r="L505" t="e">
        <v>#NAME?</v>
      </c>
      <c r="P505" t="e">
        <v>#NAME?</v>
      </c>
    </row>
    <row r="513" spans="1:14" x14ac:dyDescent="0.25">
      <c r="N513" t="e">
        <f t="array" ref="N513">MMULT(MMULT(TRANSPOSE(emale),cckominus1),emale)</f>
        <v>#NAME?</v>
      </c>
    </row>
    <row r="515" spans="1:14" x14ac:dyDescent="0.25">
      <c r="N515" t="e">
        <f t="array" ref="N515">MMULT(TRANSPOSE(gmvpweights),Evelke)</f>
        <v>#NAME?</v>
      </c>
    </row>
    <row r="516" spans="1:14" x14ac:dyDescent="0.25">
      <c r="A516" t="e">
        <f t="array" ref="A516">MMULT(MMULT(TRANSPOSE(Evelke),cckominus1),Evelke)</f>
        <v>#NAME?</v>
      </c>
      <c r="B516" t="e">
        <f t="array" ref="B516">MMULT(MMULT(TRANSPOSE(Evelke),cckominus1),emale)</f>
        <v>#NAME?</v>
      </c>
      <c r="D516" t="e">
        <f t="array" ref="D516:E517">MINVERSE(A516:B517)</f>
        <v>#NAME?</v>
      </c>
      <c r="E516" t="e">
        <v>#NAME?</v>
      </c>
    </row>
    <row r="517" spans="1:14" x14ac:dyDescent="0.25">
      <c r="A517" t="e">
        <f t="array" ref="A517">MMULT(MMULT(TRANSPOSE(Evelke),cckominus1),emale)</f>
        <v>#NAME?</v>
      </c>
      <c r="B517" t="e">
        <f t="array" ref="B517">MMULT(MMULT(TRANSPOSE(emale),cckominus1),emale)</f>
        <v>#NAME?</v>
      </c>
      <c r="D517" t="e">
        <v>#NAME?</v>
      </c>
      <c r="E517" t="e">
        <v>#NAME?</v>
      </c>
      <c r="N517" t="e">
        <f t="array" ref="N517">MMULT(MMULT(TRANSPOSE(gmvpweights),ccko),gmvpweights)</f>
        <v>#NAME?</v>
      </c>
    </row>
    <row r="65000" spans="1:1" x14ac:dyDescent="0.25">
      <c r="A65000" t="s">
        <v>19</v>
      </c>
    </row>
    <row r="65001" spans="1:1" x14ac:dyDescent="0.25">
      <c r="A65001">
        <v>3.2477578123292376E-2</v>
      </c>
    </row>
    <row r="65002" spans="1:1" x14ac:dyDescent="0.25">
      <c r="A65002">
        <v>3.6170768233171065E-2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5" x14ac:dyDescent="0.25"/>
  <sheetData>
    <row r="1" spans="1:3" x14ac:dyDescent="0.25">
      <c r="A1" s="10">
        <v>1</v>
      </c>
      <c r="B1" s="10">
        <v>0.42254179716110229</v>
      </c>
      <c r="C1" s="10">
        <v>-0.12741959095001221</v>
      </c>
    </row>
    <row r="2" spans="1:3" x14ac:dyDescent="0.25">
      <c r="A2" s="10">
        <v>0.42254179716110229</v>
      </c>
      <c r="B2" s="10">
        <v>1</v>
      </c>
      <c r="C2" s="10">
        <v>3.5802140831947327E-2</v>
      </c>
    </row>
    <row r="3" spans="1:3" x14ac:dyDescent="0.25">
      <c r="A3" s="10">
        <v>-0.12741959095001221</v>
      </c>
      <c r="B3" s="10">
        <v>3.5802140831947327E-2</v>
      </c>
      <c r="C3" s="1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7:H17"/>
  <sheetViews>
    <sheetView workbookViewId="0"/>
  </sheetViews>
  <sheetFormatPr defaultRowHeight="15" x14ac:dyDescent="0.25"/>
  <cols>
    <col min="1" max="1" width="7" style="1" bestFit="1" customWidth="1"/>
    <col min="2" max="2" width="10.42578125" style="1" bestFit="1" customWidth="1"/>
    <col min="3" max="3" width="18.140625" style="1" bestFit="1" customWidth="1"/>
    <col min="4" max="4" width="15.28515625" style="1" bestFit="1" customWidth="1"/>
    <col min="5" max="5" width="6.7109375" style="1" bestFit="1" customWidth="1"/>
    <col min="6" max="6" width="8.28515625" style="1" bestFit="1" customWidth="1"/>
    <col min="7" max="8" width="7.28515625" style="1" bestFit="1" customWidth="1"/>
    <col min="9" max="16384" width="9.140625" style="1"/>
  </cols>
  <sheetData>
    <row r="7" spans="1:8" x14ac:dyDescent="0.25">
      <c r="A7" s="9">
        <v>3.3556563240591517E-2</v>
      </c>
      <c r="B7" s="9">
        <v>1.563316458143497E-3</v>
      </c>
      <c r="C7" s="9">
        <v>3.9538796872736238E-2</v>
      </c>
      <c r="D7" s="9">
        <v>0.84869965438251005</v>
      </c>
      <c r="E7" s="9">
        <v>0.15836148600614838</v>
      </c>
      <c r="F7" s="9">
        <v>0.35688532258539524</v>
      </c>
      <c r="G7" s="9">
        <v>0.13135844289169918</v>
      </c>
      <c r="H7" s="9">
        <v>0.51175623452290553</v>
      </c>
    </row>
    <row r="9" spans="1:8" x14ac:dyDescent="0.25">
      <c r="A9" s="11"/>
      <c r="B9" s="23"/>
      <c r="C9" s="23"/>
      <c r="D9" s="23"/>
      <c r="E9" s="11">
        <f>CHIINV(0.05,2)</f>
        <v>5.9914645471079817</v>
      </c>
      <c r="F9" s="24" t="s">
        <v>16</v>
      </c>
      <c r="G9" s="24"/>
      <c r="H9" s="24"/>
    </row>
    <row r="10" spans="1:8" x14ac:dyDescent="0.25">
      <c r="A10" s="18" t="s">
        <v>7</v>
      </c>
      <c r="B10" s="18" t="s">
        <v>8</v>
      </c>
      <c r="C10" s="18" t="s">
        <v>9</v>
      </c>
      <c r="D10" s="18" t="s">
        <v>17</v>
      </c>
      <c r="E10" s="18" t="s">
        <v>18</v>
      </c>
      <c r="F10" s="28" t="s">
        <v>4</v>
      </c>
      <c r="G10" s="28" t="s">
        <v>5</v>
      </c>
      <c r="H10" s="29" t="s">
        <v>6</v>
      </c>
    </row>
    <row r="11" spans="1:8" x14ac:dyDescent="0.25">
      <c r="A11" s="25">
        <v>3.2500000000000001E-2</v>
      </c>
      <c r="B11" s="25">
        <v>2.2195083509527641E-3</v>
      </c>
      <c r="C11" s="25">
        <v>4.7111658333715702E-2</v>
      </c>
      <c r="D11" s="25" t="s">
        <v>25</v>
      </c>
      <c r="E11" s="25">
        <v>0.90341928748799949</v>
      </c>
      <c r="F11" s="14">
        <v>0.45890033291166876</v>
      </c>
      <c r="G11" s="14">
        <v>-0.20068921943746787</v>
      </c>
      <c r="H11" s="15">
        <v>0.7417888865257849</v>
      </c>
    </row>
    <row r="12" spans="1:8" x14ac:dyDescent="0.25">
      <c r="A12" s="26">
        <v>3.3239999988581986E-2</v>
      </c>
      <c r="B12" s="26">
        <v>1.622222638686944E-3</v>
      </c>
      <c r="C12" s="26">
        <v>4.0276825082011421E-2</v>
      </c>
      <c r="D12" s="26" t="s">
        <v>25</v>
      </c>
      <c r="E12" s="26">
        <v>1.7247416885722872E-2</v>
      </c>
      <c r="F12" s="9">
        <v>0.38745065193055428</v>
      </c>
      <c r="G12" s="9">
        <v>3.1871650458677792E-2</v>
      </c>
      <c r="H12" s="16">
        <v>0.58067769761075372</v>
      </c>
    </row>
    <row r="13" spans="1:8" x14ac:dyDescent="0.25">
      <c r="A13" s="26">
        <v>3.3979999977163972E-2</v>
      </c>
      <c r="B13" s="26">
        <v>1.6687107122137102E-3</v>
      </c>
      <c r="C13" s="26">
        <v>4.0849855718395264E-2</v>
      </c>
      <c r="D13" s="26" t="s">
        <v>25</v>
      </c>
      <c r="E13" s="26">
        <v>0.7865742195235349</v>
      </c>
      <c r="F13" s="9">
        <v>0.31600097094943935</v>
      </c>
      <c r="G13" s="9">
        <v>0.26443252035482345</v>
      </c>
      <c r="H13" s="16">
        <v>0.41956650869572343</v>
      </c>
    </row>
    <row r="14" spans="1:8" x14ac:dyDescent="0.25">
      <c r="A14" s="26">
        <v>3.4719999965745957E-2</v>
      </c>
      <c r="B14" s="26">
        <v>2.3589725715328072E-3</v>
      </c>
      <c r="C14" s="26">
        <v>4.8569255414642784E-2</v>
      </c>
      <c r="D14" s="26" t="s">
        <v>25</v>
      </c>
      <c r="E14" s="26">
        <v>1.660358625308209</v>
      </c>
      <c r="F14" s="9">
        <v>0.24455128996832487</v>
      </c>
      <c r="G14" s="9">
        <v>0.49699339025096911</v>
      </c>
      <c r="H14" s="16">
        <v>0.25845531978069314</v>
      </c>
    </row>
    <row r="15" spans="1:8" x14ac:dyDescent="0.25">
      <c r="A15" s="27">
        <v>3.5459999954327942E-2</v>
      </c>
      <c r="B15" s="27">
        <v>3.6930082166444899E-3</v>
      </c>
      <c r="C15" s="27">
        <v>6.0770126021298408E-2</v>
      </c>
      <c r="D15" s="27" t="s">
        <v>25</v>
      </c>
      <c r="E15" s="27">
        <v>1.6005017034237079</v>
      </c>
      <c r="F15" s="12">
        <v>0.17310160898720994</v>
      </c>
      <c r="G15" s="12">
        <v>0.72955426014711477</v>
      </c>
      <c r="H15" s="17">
        <v>9.734413086566196E-2</v>
      </c>
    </row>
    <row r="16" spans="1:8" x14ac:dyDescent="0.25">
      <c r="A16" s="26">
        <v>3.6199999942909927E-2</v>
      </c>
      <c r="B16" s="26">
        <v>5.6708176475485034E-3</v>
      </c>
      <c r="C16" s="26">
        <v>7.530483150202584E-2</v>
      </c>
      <c r="D16" s="26" t="s">
        <v>25</v>
      </c>
      <c r="E16" s="26">
        <v>1.3158602642526243</v>
      </c>
      <c r="F16" s="9">
        <v>0.10165192800609502</v>
      </c>
      <c r="G16" s="9">
        <v>0.96211513004326044</v>
      </c>
      <c r="H16" s="16">
        <v>-6.376705804936833E-2</v>
      </c>
    </row>
    <row r="17" spans="1:8" x14ac:dyDescent="0.25">
      <c r="A17" s="27">
        <v>3.6939999931491913E-2</v>
      </c>
      <c r="B17" s="27">
        <v>8.2924008642451027E-3</v>
      </c>
      <c r="C17" s="27">
        <v>9.1062620565438943E-2</v>
      </c>
      <c r="D17" s="27" t="s">
        <v>25</v>
      </c>
      <c r="E17" s="27">
        <v>1.1058318559623124</v>
      </c>
      <c r="F17" s="12">
        <v>3.0202247024980533E-2</v>
      </c>
      <c r="G17" s="12">
        <v>1.1946759999394061</v>
      </c>
      <c r="H17" s="17">
        <v>-0.22487824696439951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Inputs</vt:lpstr>
      <vt:lpstr>Return and Risk</vt:lpstr>
      <vt:lpstr>Covariance Matrix</vt:lpstr>
      <vt:lpstr>Correlation Coefficients</vt:lpstr>
      <vt:lpstr>Results</vt:lpstr>
      <vt:lpstr>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Kahuna</dc:creator>
  <cp:lastModifiedBy>Martin</cp:lastModifiedBy>
  <dcterms:created xsi:type="dcterms:W3CDTF">2014-01-07T14:26:08Z</dcterms:created>
  <dcterms:modified xsi:type="dcterms:W3CDTF">2017-05-28T18:36:33Z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10538441-f26d-4227-ae39-be9bc5b70c07</vt:lpwstr>
  </property>
</Properties>
</file>
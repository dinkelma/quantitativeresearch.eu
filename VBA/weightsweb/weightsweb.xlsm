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220" yWindow="300" windowWidth="13935" windowHeight="12525" tabRatio="809"/>
  </bookViews>
  <sheets>
    <sheet name="Inputs" sheetId="1" r:id="rId1"/>
    <sheet name="Return and Risk" sheetId="2" r:id="rId2"/>
    <sheet name="Covariance Matrix" sheetId="3" state="hidden" r:id="rId3"/>
    <sheet name="Correlation Coefficients" sheetId="4" r:id="rId4"/>
    <sheet name="Results" sheetId="5" r:id="rId5"/>
    <sheet name="Aid" sheetId="9" state="hidden" r:id="rId6"/>
    <sheet name="Graph" sheetId="8" r:id="rId7"/>
    <sheet name="Table - Warning" sheetId="10" r:id="rId8"/>
  </sheets>
  <definedNames>
    <definedName name="sngreturnyfinal">Results!$A$11:$A$189</definedName>
    <definedName name="sngreturnyjednotlive">'Return and Risk'!$B$11:$B$20</definedName>
    <definedName name="solver_adj" localSheetId="2" hidden="1">'Covariance Matrix'!#REF!</definedName>
    <definedName name="solver_cvg" localSheetId="2" hidden="1">0.0001</definedName>
    <definedName name="solver_cvg" localSheetId="0" hidden="1">0.0001</definedName>
    <definedName name="solver_drv" localSheetId="2" hidden="1">1</definedName>
    <definedName name="solver_drv" localSheetId="0" hidden="1">2</definedName>
    <definedName name="solver_eng" localSheetId="2" hidden="1">1</definedName>
    <definedName name="solver_eng" localSheetId="0" hidden="1">1</definedName>
    <definedName name="solver_eng" localSheetId="4" hidden="1">1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2147483647</definedName>
    <definedName name="solver_lhs1" localSheetId="2" hidden="1">'Covariance Matrix'!#REF!</definedName>
    <definedName name="solver_lhs1" localSheetId="0" hidden="1">Inputs!#REF!</definedName>
    <definedName name="solver_lhs10" localSheetId="2" hidden="1">'Covariance Matrix'!#REF!</definedName>
    <definedName name="solver_lhs11" localSheetId="2" hidden="1">'Covariance Matrix'!#REF!</definedName>
    <definedName name="solver_lhs12" localSheetId="2" hidden="1">'Covariance Matrix'!#REF!</definedName>
    <definedName name="solver_lhs13" localSheetId="2" hidden="1">'Covariance Matrix'!#REF!</definedName>
    <definedName name="solver_lhs14" localSheetId="2" hidden="1">'Covariance Matrix'!#REF!</definedName>
    <definedName name="solver_lhs15" localSheetId="2" hidden="1">'Covariance Matrix'!#REF!</definedName>
    <definedName name="solver_lhs16" localSheetId="2" hidden="1">'Covariance Matrix'!#REF!</definedName>
    <definedName name="solver_lhs17" localSheetId="2" hidden="1">'Covariance Matrix'!#REF!</definedName>
    <definedName name="solver_lhs18" localSheetId="2" hidden="1">'Covariance Matrix'!#REF!</definedName>
    <definedName name="solver_lhs19" localSheetId="2" hidden="1">'Covariance Matrix'!#REF!</definedName>
    <definedName name="solver_lhs2" localSheetId="2" hidden="1">'Covariance Matrix'!#REF!</definedName>
    <definedName name="solver_lhs2" localSheetId="0" hidden="1">Inputs!#REF!</definedName>
    <definedName name="solver_lhs20" localSheetId="2" hidden="1">'Covariance Matrix'!#REF!</definedName>
    <definedName name="solver_lhs21" localSheetId="2" hidden="1">'Covariance Matrix'!#REF!</definedName>
    <definedName name="solver_lhs22" localSheetId="2" hidden="1">'Covariance Matrix'!#REF!</definedName>
    <definedName name="solver_lhs23" localSheetId="2" hidden="1">'Covariance Matrix'!#REF!</definedName>
    <definedName name="solver_lhs24" localSheetId="2" hidden="1">'Covariance Matrix'!#REF!</definedName>
    <definedName name="solver_lhs25" localSheetId="2" hidden="1">'Covariance Matrix'!#REF!</definedName>
    <definedName name="solver_lhs26" localSheetId="2" hidden="1">'Covariance Matrix'!#REF!</definedName>
    <definedName name="solver_lhs27" localSheetId="2" hidden="1">'Covariance Matrix'!#REF!</definedName>
    <definedName name="solver_lhs28" localSheetId="2" hidden="1">'Covariance Matrix'!#REF!</definedName>
    <definedName name="solver_lhs29" localSheetId="2" hidden="1">'Covariance Matrix'!#REF!</definedName>
    <definedName name="solver_lhs3" localSheetId="2" hidden="1">'Covariance Matrix'!#REF!</definedName>
    <definedName name="solver_lhs30" localSheetId="2" hidden="1">'Covariance Matrix'!#REF!</definedName>
    <definedName name="solver_lhs31" localSheetId="2" hidden="1">'Covariance Matrix'!#REF!</definedName>
    <definedName name="solver_lhs32" localSheetId="2" hidden="1">'Covariance Matrix'!#REF!</definedName>
    <definedName name="solver_lhs33" localSheetId="2" hidden="1">'Covariance Matrix'!#REF!</definedName>
    <definedName name="solver_lhs34" localSheetId="2" hidden="1">'Covariance Matrix'!#REF!</definedName>
    <definedName name="solver_lhs35" localSheetId="2" hidden="1">'Covariance Matrix'!#REF!</definedName>
    <definedName name="solver_lhs36" localSheetId="2" hidden="1">'Covariance Matrix'!#REF!</definedName>
    <definedName name="solver_lhs37" localSheetId="2" hidden="1">'Covariance Matrix'!#REF!</definedName>
    <definedName name="solver_lhs38" localSheetId="2" hidden="1">'Covariance Matrix'!#REF!</definedName>
    <definedName name="solver_lhs4" localSheetId="2" hidden="1">'Covariance Matrix'!#REF!</definedName>
    <definedName name="solver_lhs5" localSheetId="2" hidden="1">'Covariance Matrix'!#REF!</definedName>
    <definedName name="solver_lhs6" localSheetId="2" hidden="1">'Covariance Matrix'!#REF!</definedName>
    <definedName name="solver_lhs7" localSheetId="2" hidden="1">'Covariance Matrix'!#REF!</definedName>
    <definedName name="solver_lhs8" localSheetId="2" hidden="1">'Covariance Matrix'!#REF!</definedName>
    <definedName name="solver_lhs9" localSheetId="2" hidden="1">'Covariance Matrix'!#REF!</definedName>
    <definedName name="solver_mip" localSheetId="2" hidden="1">2147483647</definedName>
    <definedName name="solver_mip" localSheetId="0" hidden="1">2147483647</definedName>
    <definedName name="solver_mni" localSheetId="2" hidden="1">30</definedName>
    <definedName name="solver_mni" localSheetId="0" hidden="1">30</definedName>
    <definedName name="solver_mrt" localSheetId="2" hidden="1">0.075</definedName>
    <definedName name="solver_mrt" localSheetId="0" hidden="1">0.075</definedName>
    <definedName name="solver_msl" localSheetId="2" hidden="1">2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4" hidden="1">1</definedName>
    <definedName name="solver_nod" localSheetId="2" hidden="1">2147483647</definedName>
    <definedName name="solver_nod" localSheetId="0" hidden="1">2147483647</definedName>
    <definedName name="solver_num" localSheetId="2" hidden="1">2</definedName>
    <definedName name="solver_num" localSheetId="0" hidden="1">0</definedName>
    <definedName name="solver_num" localSheetId="4" hidden="1">0</definedName>
    <definedName name="solver_nwt" localSheetId="2" hidden="1">1</definedName>
    <definedName name="solver_nwt" localSheetId="0" hidden="1">1</definedName>
    <definedName name="solver_opt" localSheetId="2" hidden="1">'Covariance Matrix'!#REF!</definedName>
    <definedName name="solver_pre" localSheetId="2" hidden="1">0.000001</definedName>
    <definedName name="solver_pre" localSheetId="0" hidden="1">0.000001</definedName>
    <definedName name="solver_rbv" localSheetId="2" hidden="1">2</definedName>
    <definedName name="solver_rbv" localSheetId="0" hidden="1">2</definedName>
    <definedName name="solver_rel1" localSheetId="2" hidden="1">2</definedName>
    <definedName name="solver_rel1" localSheetId="0" hidden="1">2</definedName>
    <definedName name="solver_rel10" localSheetId="2" hidden="1">1</definedName>
    <definedName name="solver_rel11" localSheetId="2" hidden="1">1</definedName>
    <definedName name="solver_rel12" localSheetId="2" hidden="1">1</definedName>
    <definedName name="solver_rel13" localSheetId="2" hidden="1">1</definedName>
    <definedName name="solver_rel14" localSheetId="2" hidden="1">1</definedName>
    <definedName name="solver_rel15" localSheetId="2" hidden="1">1</definedName>
    <definedName name="solver_rel16" localSheetId="2" hidden="1">1</definedName>
    <definedName name="solver_rel17" localSheetId="2" hidden="1">1</definedName>
    <definedName name="solver_rel18" localSheetId="2" hidden="1">1</definedName>
    <definedName name="solver_rel19" localSheetId="2" hidden="1">1</definedName>
    <definedName name="solver_rel2" localSheetId="2" hidden="1">2</definedName>
    <definedName name="solver_rel2" localSheetId="0" hidden="1">2</definedName>
    <definedName name="solver_rel20" localSheetId="2" hidden="1">1</definedName>
    <definedName name="solver_rel21" localSheetId="2" hidden="1">1</definedName>
    <definedName name="solver_rel22" localSheetId="2" hidden="1">1</definedName>
    <definedName name="solver_rel23" localSheetId="2" hidden="1">1</definedName>
    <definedName name="solver_rel24" localSheetId="2" hidden="1">1</definedName>
    <definedName name="solver_rel25" localSheetId="2" hidden="1">2</definedName>
    <definedName name="solver_rel26" localSheetId="2" hidden="1">2</definedName>
    <definedName name="solver_rel27" localSheetId="2" hidden="1">1</definedName>
    <definedName name="solver_rel28" localSheetId="2" hidden="1">1</definedName>
    <definedName name="solver_rel29" localSheetId="2" hidden="1">1</definedName>
    <definedName name="solver_rel3" localSheetId="2" hidden="1">2</definedName>
    <definedName name="solver_rel30" localSheetId="2" hidden="1">1</definedName>
    <definedName name="solver_rel31" localSheetId="2" hidden="1">1</definedName>
    <definedName name="solver_rel32" localSheetId="2" hidden="1">1</definedName>
    <definedName name="solver_rel33" localSheetId="2" hidden="1">1</definedName>
    <definedName name="solver_rel34" localSheetId="2" hidden="1">1</definedName>
    <definedName name="solver_rel35" localSheetId="2" hidden="1">1</definedName>
    <definedName name="solver_rel36" localSheetId="2" hidden="1">1</definedName>
    <definedName name="solver_rel37" localSheetId="2" hidden="1">2</definedName>
    <definedName name="solver_rel38" localSheetId="2" hidden="1">2</definedName>
    <definedName name="solver_rel4" localSheetId="2" hidden="1">1</definedName>
    <definedName name="solver_rel5" localSheetId="2" hidden="1">1</definedName>
    <definedName name="solver_rel6" localSheetId="2" hidden="1">1</definedName>
    <definedName name="solver_rel7" localSheetId="2" hidden="1">1</definedName>
    <definedName name="solver_rel8" localSheetId="2" hidden="1">1</definedName>
    <definedName name="solver_rel9" localSheetId="2" hidden="1">1</definedName>
    <definedName name="solver_rhs1" localSheetId="2" hidden="1">1</definedName>
    <definedName name="solver_rhs1" localSheetId="0" hidden="1">Inputs!#REF!</definedName>
    <definedName name="solver_rhs10" localSheetId="2" hidden="1">1</definedName>
    <definedName name="solver_rhs11" localSheetId="2" hidden="1">1</definedName>
    <definedName name="solver_rhs12" localSheetId="2" hidden="1">1</definedName>
    <definedName name="solver_rhs13" localSheetId="2" hidden="1">1</definedName>
    <definedName name="solver_rhs14" localSheetId="2" hidden="1">1</definedName>
    <definedName name="solver_rhs15" localSheetId="2" hidden="1">1</definedName>
    <definedName name="solver_rhs16" localSheetId="2" hidden="1">1</definedName>
    <definedName name="solver_rhs17" localSheetId="2" hidden="1">1</definedName>
    <definedName name="solver_rhs18" localSheetId="2" hidden="1">1</definedName>
    <definedName name="solver_rhs19" localSheetId="2" hidden="1">1</definedName>
    <definedName name="solver_rhs2" localSheetId="2" hidden="1">'Covariance Matrix'!#REF!</definedName>
    <definedName name="solver_rhs2" localSheetId="0" hidden="1">Inputs!#REF!</definedName>
    <definedName name="solver_rhs20" localSheetId="2" hidden="1">1</definedName>
    <definedName name="solver_rhs21" localSheetId="2" hidden="1">1</definedName>
    <definedName name="solver_rhs22" localSheetId="2" hidden="1">1</definedName>
    <definedName name="solver_rhs23" localSheetId="2" hidden="1">1</definedName>
    <definedName name="solver_rhs24" localSheetId="2" hidden="1">1</definedName>
    <definedName name="solver_rhs25" localSheetId="2" hidden="1">1</definedName>
    <definedName name="solver_rhs26" localSheetId="2" hidden="1">Epcko</definedName>
    <definedName name="solver_rhs27" localSheetId="2" hidden="1">1</definedName>
    <definedName name="solver_rhs28" localSheetId="2" hidden="1">1</definedName>
    <definedName name="solver_rhs29" localSheetId="2" hidden="1">1</definedName>
    <definedName name="solver_rhs3" localSheetId="2" hidden="1">0.3</definedName>
    <definedName name="solver_rhs30" localSheetId="2" hidden="1">1</definedName>
    <definedName name="solver_rhs31" localSheetId="2" hidden="1">1</definedName>
    <definedName name="solver_rhs32" localSheetId="2" hidden="1">1</definedName>
    <definedName name="solver_rhs33" localSheetId="2" hidden="1">1</definedName>
    <definedName name="solver_rhs34" localSheetId="2" hidden="1">1</definedName>
    <definedName name="solver_rhs35" localSheetId="2" hidden="1">1</definedName>
    <definedName name="solver_rhs36" localSheetId="2" hidden="1">1</definedName>
    <definedName name="solver_rhs37" localSheetId="2" hidden="1">1</definedName>
    <definedName name="solver_rhs38" localSheetId="2" hidden="1">Epcko</definedName>
    <definedName name="solver_rhs4" localSheetId="2" hidden="1">1</definedName>
    <definedName name="solver_rhs5" localSheetId="2" hidden="1">1</definedName>
    <definedName name="solver_rhs6" localSheetId="2" hidden="1">1</definedName>
    <definedName name="solver_rhs7" localSheetId="2" hidden="1">1</definedName>
    <definedName name="solver_rhs8" localSheetId="2" hidden="1">1</definedName>
    <definedName name="solver_rhs9" localSheetId="2" hidden="1">1</definedName>
    <definedName name="solver_rlx" localSheetId="2" hidden="1">2</definedName>
    <definedName name="solver_rlx" localSheetId="0" hidden="1">2</definedName>
    <definedName name="solver_rsd" localSheetId="2" hidden="1">0</definedName>
    <definedName name="solver_rsd" localSheetId="0" hidden="1">0</definedName>
    <definedName name="solver_scl" localSheetId="2" hidden="1">1</definedName>
    <definedName name="solver_scl" localSheetId="0" hidden="1">2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ssz" localSheetId="0" hidden="1">100</definedName>
    <definedName name="solver_tim" localSheetId="2" hidden="1">2147483647</definedName>
    <definedName name="solver_tim" localSheetId="0" hidden="1">2147483647</definedName>
    <definedName name="solver_tol" localSheetId="2" hidden="1">0.01</definedName>
    <definedName name="solver_tol" localSheetId="0" hidden="1">0.01</definedName>
    <definedName name="solver_typ" localSheetId="2" hidden="1">2</definedName>
    <definedName name="solver_typ" localSheetId="0" hidden="1">1</definedName>
    <definedName name="solver_typ" localSheetId="4" hidden="1">1</definedName>
    <definedName name="solver_val" localSheetId="2" hidden="1">0</definedName>
    <definedName name="solver_val" localSheetId="0" hidden="1">0</definedName>
    <definedName name="solver_val" localSheetId="4" hidden="1">0</definedName>
    <definedName name="solver_ver" localSheetId="2" hidden="1">3</definedName>
    <definedName name="solver_ver" localSheetId="0" hidden="1">3</definedName>
    <definedName name="solver_ver" localSheetId="4" hidden="1">3</definedName>
  </definedNames>
  <calcPr calcId="145621"/>
</workbook>
</file>

<file path=xl/calcChain.xml><?xml version="1.0" encoding="utf-8"?>
<calcChain xmlns="http://schemas.openxmlformats.org/spreadsheetml/2006/main">
  <c r="E9" i="5" l="1"/>
  <c r="L9" i="2"/>
  <c r="G7" i="1" l="1"/>
</calcChain>
</file>

<file path=xl/sharedStrings.xml><?xml version="1.0" encoding="utf-8"?>
<sst xmlns="http://schemas.openxmlformats.org/spreadsheetml/2006/main" count="263" uniqueCount="49">
  <si>
    <t>Name of the share</t>
  </si>
  <si>
    <t>Probability</t>
  </si>
  <si>
    <t>1/n</t>
  </si>
  <si>
    <t>....</t>
  </si>
  <si>
    <t>E</t>
  </si>
  <si>
    <t>F</t>
  </si>
  <si>
    <t>G</t>
  </si>
  <si>
    <t>H</t>
  </si>
  <si>
    <t>I</t>
  </si>
  <si>
    <t>J</t>
  </si>
  <si>
    <t>Initial Investment</t>
  </si>
  <si>
    <t>Step</t>
  </si>
  <si>
    <t>Shares count</t>
  </si>
  <si>
    <t>enumerations count</t>
  </si>
  <si>
    <t>Return</t>
  </si>
  <si>
    <t>Dispersion</t>
  </si>
  <si>
    <t>Standard Deviation</t>
  </si>
  <si>
    <t>Semidispersion</t>
  </si>
  <si>
    <t>Semirisk</t>
  </si>
  <si>
    <t>VaR0.01</t>
  </si>
  <si>
    <t>VaR0.05</t>
  </si>
  <si>
    <t>VaR0.10</t>
  </si>
  <si>
    <t>Skewness</t>
  </si>
  <si>
    <t>Excess Kurtosis</t>
  </si>
  <si>
    <t>Jarque - Bera</t>
  </si>
  <si>
    <t>Weights</t>
  </si>
  <si>
    <t>(E(Rp)-Rf)/s(Rp)</t>
  </si>
  <si>
    <t>JB test</t>
  </si>
  <si>
    <t>E(Rp)min</t>
  </si>
  <si>
    <t>E(Rp)max</t>
  </si>
  <si>
    <t>Seasons : 60</t>
  </si>
  <si>
    <t>Portfolios Count</t>
  </si>
  <si>
    <t>Enumerations Count</t>
  </si>
  <si>
    <t>Lower</t>
  </si>
  <si>
    <t>Upper</t>
  </si>
  <si>
    <t>Trapeze</t>
  </si>
  <si>
    <t>Integrational Sum</t>
  </si>
  <si>
    <t>Active management : No</t>
  </si>
  <si>
    <t>Risk calculation: variance</t>
  </si>
  <si>
    <t>Scale      : 1000</t>
  </si>
  <si>
    <t>Riskless rate : Does not apply</t>
  </si>
  <si>
    <t>NA</t>
  </si>
  <si>
    <t>A</t>
  </si>
  <si>
    <t>B</t>
  </si>
  <si>
    <t>C</t>
  </si>
  <si>
    <t>D</t>
  </si>
  <si>
    <t>Shares count : 10</t>
  </si>
  <si>
    <t>Step        : 5</t>
  </si>
  <si>
    <t>Filter       : 1st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</si>
</sst>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b/>
      <sz val="10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/>
    <xf numFmtId="0" fontId="1" fillId="0" borderId="0" xfId="0" applyFont="1"/>
    <xf numFmtId="0" fontId="0" fillId="0" borderId="1" xfId="0" applyBorder="1"/>
    <xf numFmtId="0" fontId="2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2" fillId="0" borderId="13" xfId="0" applyFont="1" applyBorder="1"/>
    <xf numFmtId="0" fontId="0" fillId="0" borderId="9" xfId="0" applyBorder="1"/>
    <xf numFmtId="0" fontId="0" fillId="0" borderId="10" xfId="0" applyBorder="1"/>
    <xf numFmtId="0" fontId="0" fillId="0" borderId="14" xfId="0" applyBorder="1"/>
    <xf numFmtId="0" fontId="2" fillId="0" borderId="15" xfId="0" applyFont="1" applyBorder="1"/>
    <xf numFmtId="0" fontId="0" fillId="0" borderId="16" xfId="0" applyBorder="1"/>
    <xf numFmtId="0" fontId="0" fillId="0" borderId="8" xfId="0" applyBorder="1"/>
    <xf numFmtId="0" fontId="0" fillId="0" borderId="17" xfId="0" applyBorder="1"/>
    <xf numFmtId="1" fontId="0" fillId="0" borderId="17" xfId="0" applyNumberFormat="1" applyBorder="1"/>
    <xf numFmtId="0" fontId="2" fillId="0" borderId="18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7" xfId="0" applyFont="1" applyBorder="1" applyAlignment="1">
      <alignment horizontal="center"/>
    </xf>
    <xf numFmtId="0" fontId="2" fillId="0" borderId="11" xfId="0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0" fontId="2" fillId="0" borderId="6" xfId="0" applyFont="1" applyBorder="1"/>
    <xf numFmtId="0" fontId="0" fillId="0" borderId="22" xfId="0" applyBorder="1"/>
    <xf numFmtId="0" fontId="0" fillId="0" borderId="10" xfId="0" applyNumberFormat="1" applyBorder="1"/>
    <xf numFmtId="0" fontId="0" fillId="0" borderId="14" xfId="0" applyNumberFormat="1" applyFill="1" applyBorder="1"/>
    <xf numFmtId="0" fontId="2" fillId="0" borderId="23" xfId="0" applyFont="1" applyBorder="1"/>
    <xf numFmtId="0" fontId="0" fillId="0" borderId="24" xfId="0" applyBorder="1"/>
    <xf numFmtId="0" fontId="0" fillId="0" borderId="8" xfId="0" applyNumberFormat="1" applyBorder="1"/>
    <xf numFmtId="0" fontId="0" fillId="0" borderId="17" xfId="0" applyNumberFormat="1" applyFill="1" applyBorder="1"/>
    <xf numFmtId="0" fontId="0" fillId="0" borderId="17" xfId="0" applyNumberFormat="1" applyBorder="1"/>
    <xf numFmtId="0" fontId="2" fillId="0" borderId="25" xfId="0" applyFont="1" applyBorder="1"/>
    <xf numFmtId="0" fontId="0" fillId="0" borderId="26" xfId="0" applyBorder="1"/>
    <xf numFmtId="0" fontId="0" fillId="0" borderId="20" xfId="0" applyNumberFormat="1" applyBorder="1"/>
    <xf numFmtId="1" fontId="0" fillId="0" borderId="21" xfId="0" applyNumberFormat="1" applyBorder="1"/>
    <xf numFmtId="164" fontId="0" fillId="0" borderId="0" xfId="0" applyNumberFormat="1" applyBorder="1" applyAlignment="1"/>
    <xf numFmtId="164" fontId="0" fillId="0" borderId="0" xfId="0" applyNumberFormat="1" applyAlignment="1"/>
    <xf numFmtId="19" fontId="0" fillId="0" borderId="0" xfId="0" applyNumberFormat="1" applyAlignment="1"/>
    <xf numFmtId="0" fontId="1" fillId="0" borderId="0" xfId="0" applyFont="1" applyAlignment="1" applyProtection="1">
      <protection locked="0"/>
    </xf>
    <xf numFmtId="21" fontId="0" fillId="0" borderId="0" xfId="0" applyNumberFormat="1" applyBorder="1" applyAlignment="1"/>
    <xf numFmtId="3" fontId="0" fillId="0" borderId="0" xfId="0" applyNumberFormat="1" applyAlignment="1"/>
    <xf numFmtId="0" fontId="0" fillId="0" borderId="0" xfId="0" applyBorder="1" applyAlignment="1">
      <alignment horizontal="center"/>
    </xf>
    <xf numFmtId="2" fontId="0" fillId="0" borderId="0" xfId="0" applyNumberFormat="1" applyBorder="1" applyAlignment="1"/>
    <xf numFmtId="164" fontId="0" fillId="0" borderId="27" xfId="0" applyNumberFormat="1" applyBorder="1" applyAlignment="1"/>
    <xf numFmtId="164" fontId="0" fillId="0" borderId="27" xfId="0" applyNumberFormat="1" applyBorder="1" applyAlignment="1">
      <alignment horizontal="center"/>
    </xf>
    <xf numFmtId="164" fontId="0" fillId="0" borderId="28" xfId="0" applyNumberFormat="1" applyBorder="1" applyAlignment="1"/>
    <xf numFmtId="164" fontId="0" fillId="0" borderId="30" xfId="0" applyNumberFormat="1" applyBorder="1" applyAlignment="1"/>
    <xf numFmtId="164" fontId="0" fillId="0" borderId="9" xfId="0" applyNumberFormat="1" applyBorder="1" applyAlignment="1"/>
    <xf numFmtId="0" fontId="0" fillId="0" borderId="31" xfId="0" applyBorder="1" applyAlignment="1">
      <alignment horizontal="center"/>
    </xf>
    <xf numFmtId="0" fontId="1" fillId="0" borderId="31" xfId="0" applyFont="1" applyBorder="1" applyAlignment="1" applyProtection="1">
      <protection locked="0"/>
    </xf>
    <xf numFmtId="0" fontId="1" fillId="0" borderId="32" xfId="0" applyFont="1" applyBorder="1" applyAlignment="1" applyProtection="1">
      <protection locked="0"/>
    </xf>
    <xf numFmtId="0" fontId="1" fillId="0" borderId="10" xfId="0" applyFont="1" applyBorder="1" applyAlignment="1" applyProtection="1">
      <protection locked="0"/>
    </xf>
    <xf numFmtId="0" fontId="0" fillId="0" borderId="28" xfId="0" applyBorder="1" applyAlignment="1">
      <alignment horizontal="center"/>
    </xf>
    <xf numFmtId="2" fontId="0" fillId="0" borderId="27" xfId="0" applyNumberFormat="1" applyBorder="1" applyAlignment="1"/>
    <xf numFmtId="2" fontId="0" fillId="0" borderId="29" xfId="0" applyNumberFormat="1" applyBorder="1" applyAlignment="1"/>
    <xf numFmtId="2" fontId="0" fillId="0" borderId="28" xfId="0" applyNumberFormat="1" applyBorder="1" applyAlignment="1"/>
    <xf numFmtId="2" fontId="0" fillId="0" borderId="30" xfId="0" applyNumberFormat="1" applyBorder="1" applyAlignment="1"/>
    <xf numFmtId="2" fontId="0" fillId="0" borderId="9" xfId="0" applyNumberFormat="1" applyBorder="1" applyAlignment="1"/>
    <xf numFmtId="0" fontId="0" fillId="0" borderId="9" xfId="0" applyBorder="1" applyAlignment="1">
      <alignment horizontal="center"/>
    </xf>
    <xf numFmtId="0" fontId="0" fillId="0" borderId="27" xfId="0" applyBorder="1" applyAlignment="1"/>
    <xf numFmtId="164" fontId="0" fillId="0" borderId="31" xfId="0" applyNumberFormat="1" applyBorder="1" applyAlignment="1">
      <alignment horizontal="center"/>
    </xf>
    <xf numFmtId="164" fontId="0" fillId="0" borderId="31" xfId="0" applyNumberFormat="1" applyBorder="1" applyAlignment="1"/>
    <xf numFmtId="164" fontId="0" fillId="0" borderId="32" xfId="0" applyNumberFormat="1" applyBorder="1" applyAlignment="1"/>
    <xf numFmtId="164" fontId="0" fillId="0" borderId="10" xfId="0" applyNumberFormat="1" applyBorder="1" applyAlignment="1"/>
    <xf numFmtId="164" fontId="0" fillId="2" borderId="32" xfId="0" applyNumberFormat="1" applyFill="1" applyBorder="1" applyAlignment="1"/>
    <xf numFmtId="0" fontId="0" fillId="0" borderId="0" xfId="0" applyAlignment="1"/>
    <xf numFmtId="0" fontId="0" fillId="0" borderId="0" xfId="0" applyBorder="1" applyAlignment="1"/>
    <xf numFmtId="164" fontId="0" fillId="2" borderId="10" xfId="0" applyNumberFormat="1" applyFill="1" applyBorder="1" applyAlignment="1"/>
    <xf numFmtId="4" fontId="0" fillId="0" borderId="3" xfId="0" applyNumberFormat="1" applyBorder="1" applyAlignment="1"/>
    <xf numFmtId="0" fontId="0" fillId="0" borderId="4" xfId="0" applyBorder="1" applyAlignment="1"/>
    <xf numFmtId="0" fontId="0" fillId="0" borderId="2" xfId="0" applyBorder="1" applyAlignment="1"/>
    <xf numFmtId="0" fontId="0" fillId="0" borderId="5" xfId="0" applyBorder="1" applyAlignment="1"/>
    <xf numFmtId="0" fontId="0" fillId="0" borderId="0" xfId="0" applyAlignment="1"/>
    <xf numFmtId="0" fontId="0" fillId="0" borderId="0" xfId="0" applyBorder="1" applyAlignment="1"/>
  </cellXfs>
  <cellStyles count="1">
    <cellStyle name="Normal" xfId="0" builtinId="0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Border of Investment Opportunities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Aid!$AD$11:$AD$199</c:f>
              <c:numCache>
                <c:formatCode>General</c:formatCode>
                <c:ptCount val="189"/>
                <c:pt idx="0">
                  <c:v>0.13997372815017109</c:v>
                </c:pt>
                <c:pt idx="1">
                  <c:v>0.12177412017151658</c:v>
                </c:pt>
                <c:pt idx="2">
                  <c:v>0.1175502095367624</c:v>
                </c:pt>
                <c:pt idx="3">
                  <c:v>0.11571442484754074</c:v>
                </c:pt>
                <c:pt idx="4">
                  <c:v>0.11019094220268465</c:v>
                </c:pt>
                <c:pt idx="5">
                  <c:v>0.10506552857975521</c:v>
                </c:pt>
                <c:pt idx="6">
                  <c:v>0.10438271457163391</c:v>
                </c:pt>
                <c:pt idx="7">
                  <c:v>9.9758599168590242E-2</c:v>
                </c:pt>
                <c:pt idx="8">
                  <c:v>9.5504999360833065E-2</c:v>
                </c:pt>
                <c:pt idx="9">
                  <c:v>9.416247662596533E-2</c:v>
                </c:pt>
                <c:pt idx="10">
                  <c:v>9.0874305704303202E-2</c:v>
                </c:pt>
                <c:pt idx="11">
                  <c:v>8.7159879925269718E-2</c:v>
                </c:pt>
                <c:pt idx="12">
                  <c:v>8.4620304165960752E-2</c:v>
                </c:pt>
                <c:pt idx="13">
                  <c:v>8.2035641700349146E-2</c:v>
                </c:pt>
                <c:pt idx="14">
                  <c:v>8.0401969594996306E-2</c:v>
                </c:pt>
                <c:pt idx="15">
                  <c:v>7.7951973005466468E-2</c:v>
                </c:pt>
                <c:pt idx="16">
                  <c:v>7.5777187681916464E-2</c:v>
                </c:pt>
                <c:pt idx="17">
                  <c:v>7.2972355237873029E-2</c:v>
                </c:pt>
                <c:pt idx="18">
                  <c:v>7.1494951082208782E-2</c:v>
                </c:pt>
                <c:pt idx="19">
                  <c:v>6.9874094734292E-2</c:v>
                </c:pt>
                <c:pt idx="20">
                  <c:v>6.7883083220196525E-2</c:v>
                </c:pt>
                <c:pt idx="21">
                  <c:v>6.673695758883437E-2</c:v>
                </c:pt>
                <c:pt idx="22">
                  <c:v>6.4801955091781785E-2</c:v>
                </c:pt>
                <c:pt idx="23">
                  <c:v>6.382805699567852E-2</c:v>
                </c:pt>
                <c:pt idx="24">
                  <c:v>6.2244027612538784E-2</c:v>
                </c:pt>
                <c:pt idx="25">
                  <c:v>6.1217045569867061E-2</c:v>
                </c:pt>
                <c:pt idx="26">
                  <c:v>5.9822610754982547E-2</c:v>
                </c:pt>
                <c:pt idx="27">
                  <c:v>5.9014099247238085E-2</c:v>
                </c:pt>
                <c:pt idx="28">
                  <c:v>5.773521374775669E-2</c:v>
                </c:pt>
                <c:pt idx="29">
                  <c:v>5.6828961710979807E-2</c:v>
                </c:pt>
                <c:pt idx="30">
                  <c:v>5.5584505562900857E-2</c:v>
                </c:pt>
                <c:pt idx="31">
                  <c:v>5.463961327271695E-2</c:v>
                </c:pt>
                <c:pt idx="32">
                  <c:v>5.3343135215458096E-2</c:v>
                </c:pt>
                <c:pt idx="33">
                  <c:v>5.2531349883627336E-2</c:v>
                </c:pt>
                <c:pt idx="34">
                  <c:v>5.140230540023881E-2</c:v>
                </c:pt>
                <c:pt idx="35">
                  <c:v>5.0723562798594315E-2</c:v>
                </c:pt>
                <c:pt idx="36">
                  <c:v>4.9730179225843149E-2</c:v>
                </c:pt>
                <c:pt idx="37">
                  <c:v>4.8830228842174583E-2</c:v>
                </c:pt>
                <c:pt idx="38">
                  <c:v>4.7582194797358569E-2</c:v>
                </c:pt>
                <c:pt idx="39">
                  <c:v>4.6912261646209562E-2</c:v>
                </c:pt>
                <c:pt idx="40">
                  <c:v>4.587931726560672E-2</c:v>
                </c:pt>
                <c:pt idx="41">
                  <c:v>4.5276395803247924E-2</c:v>
                </c:pt>
                <c:pt idx="42">
                  <c:v>4.4480870620714021E-2</c:v>
                </c:pt>
                <c:pt idx="43">
                  <c:v>4.3960701516225671E-2</c:v>
                </c:pt>
                <c:pt idx="44">
                  <c:v>4.2959193377995572E-2</c:v>
                </c:pt>
                <c:pt idx="45">
                  <c:v>4.2740515646478357E-2</c:v>
                </c:pt>
                <c:pt idx="46">
                  <c:v>4.1558409778430873E-2</c:v>
                </c:pt>
                <c:pt idx="47">
                  <c:v>4.1403140511707653E-2</c:v>
                </c:pt>
                <c:pt idx="48">
                  <c:v>4.0540109749073107E-2</c:v>
                </c:pt>
                <c:pt idx="49">
                  <c:v>4.0312048818181699E-2</c:v>
                </c:pt>
                <c:pt idx="50">
                  <c:v>3.9279150838713472E-2</c:v>
                </c:pt>
                <c:pt idx="51">
                  <c:v>3.8426536295389821E-2</c:v>
                </c:pt>
                <c:pt idx="52">
                  <c:v>3.8271574756747716E-2</c:v>
                </c:pt>
                <c:pt idx="53">
                  <c:v>3.7869491968118729E-2</c:v>
                </c:pt>
                <c:pt idx="54">
                  <c:v>3.7693502158463767E-2</c:v>
                </c:pt>
                <c:pt idx="55">
                  <c:v>3.7199196548819348E-2</c:v>
                </c:pt>
                <c:pt idx="56">
                  <c:v>3.7144870855404376E-2</c:v>
                </c:pt>
                <c:pt idx="57">
                  <c:v>3.7048199553102311E-2</c:v>
                </c:pt>
                <c:pt idx="58">
                  <c:v>3.6085640652472689E-2</c:v>
                </c:pt>
                <c:pt idx="59">
                  <c:v>3.5726285242276071E-2</c:v>
                </c:pt>
                <c:pt idx="60">
                  <c:v>3.583443023042996E-2</c:v>
                </c:pt>
                <c:pt idx="61">
                  <c:v>3.5901239684805866E-2</c:v>
                </c:pt>
                <c:pt idx="62">
                  <c:v>3.6391789203963881E-2</c:v>
                </c:pt>
                <c:pt idx="63">
                  <c:v>3.6440391930497716E-2</c:v>
                </c:pt>
                <c:pt idx="64">
                  <c:v>3.6600574839579111E-2</c:v>
                </c:pt>
                <c:pt idx="65">
                  <c:v>3.6883322165733597E-2</c:v>
                </c:pt>
                <c:pt idx="66">
                  <c:v>3.6947792635695607E-2</c:v>
                </c:pt>
                <c:pt idx="67">
                  <c:v>3.7396924780693765E-2</c:v>
                </c:pt>
                <c:pt idx="68">
                  <c:v>3.7567603944012977E-2</c:v>
                </c:pt>
                <c:pt idx="69">
                  <c:v>3.7731094633139027E-2</c:v>
                </c:pt>
                <c:pt idx="70">
                  <c:v>3.7969988482953548E-2</c:v>
                </c:pt>
                <c:pt idx="71">
                  <c:v>3.8015770357122843E-2</c:v>
                </c:pt>
                <c:pt idx="72">
                  <c:v>3.8816146387798844E-2</c:v>
                </c:pt>
                <c:pt idx="73">
                  <c:v>3.8871615385229423E-2</c:v>
                </c:pt>
                <c:pt idx="74">
                  <c:v>3.9303456443206181E-2</c:v>
                </c:pt>
                <c:pt idx="75">
                  <c:v>3.937437835734206E-2</c:v>
                </c:pt>
                <c:pt idx="76">
                  <c:v>3.9596824291374969E-2</c:v>
                </c:pt>
                <c:pt idx="77">
                  <c:v>3.9907057505414283E-2</c:v>
                </c:pt>
                <c:pt idx="78">
                  <c:v>4.0083315401601066E-2</c:v>
                </c:pt>
                <c:pt idx="79">
                  <c:v>4.088027986309202E-2</c:v>
                </c:pt>
                <c:pt idx="80">
                  <c:v>4.0888400998983096E-2</c:v>
                </c:pt>
                <c:pt idx="81">
                  <c:v>4.1582064084615233E-2</c:v>
                </c:pt>
                <c:pt idx="82">
                  <c:v>4.2120663173480774E-2</c:v>
                </c:pt>
                <c:pt idx="83">
                  <c:v>4.308103724224447E-2</c:v>
                </c:pt>
                <c:pt idx="84">
                  <c:v>4.3525409424647936E-2</c:v>
                </c:pt>
                <c:pt idx="85">
                  <c:v>4.465970594773979E-2</c:v>
                </c:pt>
                <c:pt idx="86">
                  <c:v>4.5102791504015631E-2</c:v>
                </c:pt>
                <c:pt idx="87">
                  <c:v>4.6121493172554671E-2</c:v>
                </c:pt>
                <c:pt idx="88">
                  <c:v>4.6382177747857613E-2</c:v>
                </c:pt>
                <c:pt idx="89">
                  <c:v>4.7027054058958788E-2</c:v>
                </c:pt>
                <c:pt idx="90">
                  <c:v>4.7582377415043876E-2</c:v>
                </c:pt>
                <c:pt idx="91">
                  <c:v>4.851661275780611E-2</c:v>
                </c:pt>
                <c:pt idx="92">
                  <c:v>4.9227607313605551E-2</c:v>
                </c:pt>
                <c:pt idx="93">
                  <c:v>5.0068749629513902E-2</c:v>
                </c:pt>
                <c:pt idx="94">
                  <c:v>5.0155090756106753E-2</c:v>
                </c:pt>
                <c:pt idx="95">
                  <c:v>5.1253333663746618E-2</c:v>
                </c:pt>
                <c:pt idx="96">
                  <c:v>5.2289719207602739E-2</c:v>
                </c:pt>
                <c:pt idx="97">
                  <c:v>5.3183872928842753E-2</c:v>
                </c:pt>
                <c:pt idx="98">
                  <c:v>5.3807538153286177E-2</c:v>
                </c:pt>
                <c:pt idx="99">
                  <c:v>5.4984555036483328E-2</c:v>
                </c:pt>
                <c:pt idx="100">
                  <c:v>5.5636050931116031E-2</c:v>
                </c:pt>
                <c:pt idx="101">
                  <c:v>5.7282721537313369E-2</c:v>
                </c:pt>
                <c:pt idx="102">
                  <c:v>5.8823037335374848E-2</c:v>
                </c:pt>
                <c:pt idx="103">
                  <c:v>5.9586391179577543E-2</c:v>
                </c:pt>
                <c:pt idx="104">
                  <c:v>6.009173527496E-2</c:v>
                </c:pt>
                <c:pt idx="105">
                  <c:v>6.119188937750767E-2</c:v>
                </c:pt>
                <c:pt idx="106">
                  <c:v>6.1967359271614356E-2</c:v>
                </c:pt>
                <c:pt idx="107">
                  <c:v>6.3400673898257265E-2</c:v>
                </c:pt>
                <c:pt idx="108">
                  <c:v>6.465563517951603E-2</c:v>
                </c:pt>
                <c:pt idx="109">
                  <c:v>6.6201241606682518E-2</c:v>
                </c:pt>
                <c:pt idx="110">
                  <c:v>6.6928477632155328E-2</c:v>
                </c:pt>
                <c:pt idx="111">
                  <c:v>6.7987237112095297E-2</c:v>
                </c:pt>
                <c:pt idx="112">
                  <c:v>7.0305641008648598E-2</c:v>
                </c:pt>
                <c:pt idx="113">
                  <c:v>7.1371392228702021E-2</c:v>
                </c:pt>
                <c:pt idx="114">
                  <c:v>7.2585073704547073E-2</c:v>
                </c:pt>
                <c:pt idx="115">
                  <c:v>7.3670951381999028E-2</c:v>
                </c:pt>
                <c:pt idx="116">
                  <c:v>7.4731868124572387E-2</c:v>
                </c:pt>
                <c:pt idx="117">
                  <c:v>7.5717078338756433E-2</c:v>
                </c:pt>
                <c:pt idx="118">
                  <c:v>7.8001569708458923E-2</c:v>
                </c:pt>
                <c:pt idx="119">
                  <c:v>7.8878871706478157E-2</c:v>
                </c:pt>
                <c:pt idx="120">
                  <c:v>8.0309189381369703E-2</c:v>
                </c:pt>
                <c:pt idx="121">
                  <c:v>8.1988563355132008E-2</c:v>
                </c:pt>
                <c:pt idx="122">
                  <c:v>8.3215307357004359E-2</c:v>
                </c:pt>
                <c:pt idx="123">
                  <c:v>8.492763947881464E-2</c:v>
                </c:pt>
                <c:pt idx="124">
                  <c:v>8.6994065582204655E-2</c:v>
                </c:pt>
                <c:pt idx="125">
                  <c:v>8.7856096134394004E-2</c:v>
                </c:pt>
                <c:pt idx="126">
                  <c:v>8.9197035760141041E-2</c:v>
                </c:pt>
                <c:pt idx="127">
                  <c:v>9.0519520582041185E-2</c:v>
                </c:pt>
                <c:pt idx="128">
                  <c:v>9.1771193409574445E-2</c:v>
                </c:pt>
                <c:pt idx="129">
                  <c:v>9.351145156143903E-2</c:v>
                </c:pt>
                <c:pt idx="130">
                  <c:v>9.521840066868402E-2</c:v>
                </c:pt>
                <c:pt idx="131">
                  <c:v>9.6691349589301923E-2</c:v>
                </c:pt>
                <c:pt idx="132">
                  <c:v>9.7906400705348479E-2</c:v>
                </c:pt>
                <c:pt idx="133">
                  <c:v>0.10034737829303765</c:v>
                </c:pt>
                <c:pt idx="134">
                  <c:v>0.10141925308986034</c:v>
                </c:pt>
                <c:pt idx="135">
                  <c:v>0.10359874514616699</c:v>
                </c:pt>
                <c:pt idx="136">
                  <c:v>0.10456546589839395</c:v>
                </c:pt>
                <c:pt idx="137">
                  <c:v>0.10611790830925569</c:v>
                </c:pt>
                <c:pt idx="138">
                  <c:v>0.10804142710737552</c:v>
                </c:pt>
                <c:pt idx="139">
                  <c:v>0.10944229444229216</c:v>
                </c:pt>
                <c:pt idx="140">
                  <c:v>0.11125386892463221</c:v>
                </c:pt>
                <c:pt idx="141">
                  <c:v>0.11283129431607043</c:v>
                </c:pt>
                <c:pt idx="142">
                  <c:v>0.11500952224789911</c:v>
                </c:pt>
                <c:pt idx="143">
                  <c:v>0.11627836070697459</c:v>
                </c:pt>
                <c:pt idx="144">
                  <c:v>0.11833227111052719</c:v>
                </c:pt>
                <c:pt idx="145">
                  <c:v>0.12023728209774852</c:v>
                </c:pt>
                <c:pt idx="146">
                  <c:v>0.12181299076174437</c:v>
                </c:pt>
                <c:pt idx="147">
                  <c:v>0.12409156491022337</c:v>
                </c:pt>
                <c:pt idx="148">
                  <c:v>0.12496996723216085</c:v>
                </c:pt>
                <c:pt idx="149">
                  <c:v>0.12760530038961707</c:v>
                </c:pt>
                <c:pt idx="150">
                  <c:v>0.12912531419981915</c:v>
                </c:pt>
                <c:pt idx="151">
                  <c:v>0.13070480627963324</c:v>
                </c:pt>
                <c:pt idx="152">
                  <c:v>0.13248644290000502</c:v>
                </c:pt>
                <c:pt idx="153">
                  <c:v>0.13505124346549424</c:v>
                </c:pt>
                <c:pt idx="154">
                  <c:v>0.13713448544926982</c:v>
                </c:pt>
                <c:pt idx="155">
                  <c:v>0.13848651932493417</c:v>
                </c:pt>
                <c:pt idx="156">
                  <c:v>0.14091912864004813</c:v>
                </c:pt>
                <c:pt idx="157">
                  <c:v>0.14269081890931765</c:v>
                </c:pt>
                <c:pt idx="158">
                  <c:v>0.14436032447882427</c:v>
                </c:pt>
                <c:pt idx="159">
                  <c:v>0.14712814390311491</c:v>
                </c:pt>
                <c:pt idx="160">
                  <c:v>0.1488101418101479</c:v>
                </c:pt>
                <c:pt idx="161">
                  <c:v>0.15160860511466021</c:v>
                </c:pt>
                <c:pt idx="162">
                  <c:v>0.15258599353373917</c:v>
                </c:pt>
                <c:pt idx="163">
                  <c:v>0.15694724269058308</c:v>
                </c:pt>
                <c:pt idx="164">
                  <c:v>0.15754410259552876</c:v>
                </c:pt>
                <c:pt idx="165">
                  <c:v>0.16163922808147482</c:v>
                </c:pt>
                <c:pt idx="166">
                  <c:v>0.16199579972297407</c:v>
                </c:pt>
                <c:pt idx="167">
                  <c:v>0.16714252187279902</c:v>
                </c:pt>
                <c:pt idx="168">
                  <c:v>0.17239595238651725</c:v>
                </c:pt>
                <c:pt idx="169">
                  <c:v>0.17918889521725007</c:v>
                </c:pt>
                <c:pt idx="170">
                  <c:v>0.18476322051660232</c:v>
                </c:pt>
                <c:pt idx="171">
                  <c:v>0.18735396960772402</c:v>
                </c:pt>
                <c:pt idx="172">
                  <c:v>0.19487985651574746</c:v>
                </c:pt>
                <c:pt idx="173">
                  <c:v>0.19672039465961433</c:v>
                </c:pt>
                <c:pt idx="174">
                  <c:v>0.20712525536729201</c:v>
                </c:pt>
                <c:pt idx="175">
                  <c:v>0.21842019855216341</c:v>
                </c:pt>
                <c:pt idx="176">
                  <c:v>0.2304743995519592</c:v>
                </c:pt>
                <c:pt idx="177">
                  <c:v>0.24317497517379297</c:v>
                </c:pt>
                <c:pt idx="178">
                  <c:v>0.25642590009861055</c:v>
                </c:pt>
                <c:pt idx="179">
                  <c:v>0.20063595850282828</c:v>
                </c:pt>
                <c:pt idx="180">
                  <c:v>0.17535113579494871</c:v>
                </c:pt>
                <c:pt idx="181">
                  <c:v>0.10045753867558627</c:v>
                </c:pt>
                <c:pt idx="182">
                  <c:v>8.2829880183049931E-2</c:v>
                </c:pt>
                <c:pt idx="183">
                  <c:v>5.4108306602759393E-2</c:v>
                </c:pt>
                <c:pt idx="184">
                  <c:v>9.4445300507253832E-2</c:v>
                </c:pt>
                <c:pt idx="185">
                  <c:v>0.14378341456002253</c:v>
                </c:pt>
                <c:pt idx="186">
                  <c:v>0.19167375123682048</c:v>
                </c:pt>
                <c:pt idx="187">
                  <c:v>0.21958147750811566</c:v>
                </c:pt>
                <c:pt idx="188">
                  <c:v>0.25642591094292416</c:v>
                </c:pt>
              </c:numCache>
            </c:numRef>
          </c:xVal>
          <c:yVal>
            <c:numRef>
              <c:f>Aid!$AE$11:$AE$199</c:f>
              <c:numCache>
                <c:formatCode>General</c:formatCode>
                <c:ptCount val="189"/>
                <c:pt idx="0">
                  <c:v>-6.9526523351669312E-2</c:v>
                </c:pt>
                <c:pt idx="1">
                  <c:v>-6.8814791738986969E-2</c:v>
                </c:pt>
                <c:pt idx="2">
                  <c:v>-6.7567907273769379E-2</c:v>
                </c:pt>
                <c:pt idx="3">
                  <c:v>-6.6859245300292969E-2</c:v>
                </c:pt>
                <c:pt idx="4">
                  <c:v>-6.5893985331058502E-2</c:v>
                </c:pt>
                <c:pt idx="5">
                  <c:v>-6.4504750072956085E-2</c:v>
                </c:pt>
                <c:pt idx="6">
                  <c:v>-6.3938438892364502E-2</c:v>
                </c:pt>
                <c:pt idx="7">
                  <c:v>-6.2973178923130035E-2</c:v>
                </c:pt>
                <c:pt idx="8">
                  <c:v>-6.1583943665027618E-2</c:v>
                </c:pt>
                <c:pt idx="9">
                  <c:v>-6.0875285416841507E-2</c:v>
                </c:pt>
                <c:pt idx="10">
                  <c:v>-6.005236878991127E-2</c:v>
                </c:pt>
                <c:pt idx="11">
                  <c:v>-5.8520790189504623E-2</c:v>
                </c:pt>
                <c:pt idx="12">
                  <c:v>-5.7530511170625687E-2</c:v>
                </c:pt>
                <c:pt idx="13">
                  <c:v>-5.6565247476100922E-2</c:v>
                </c:pt>
                <c:pt idx="14">
                  <c:v>-5.599893257021904E-2</c:v>
                </c:pt>
                <c:pt idx="15">
                  <c:v>-5.460970476269722E-2</c:v>
                </c:pt>
                <c:pt idx="16">
                  <c:v>-5.390104278922081E-2</c:v>
                </c:pt>
                <c:pt idx="17">
                  <c:v>-5.2511811256408691E-2</c:v>
                </c:pt>
                <c:pt idx="18">
                  <c:v>-5.1945500075817108E-2</c:v>
                </c:pt>
                <c:pt idx="19">
                  <c:v>-5.0812873989343643E-2</c:v>
                </c:pt>
                <c:pt idx="20">
                  <c:v>-4.9847610294818878E-2</c:v>
                </c:pt>
                <c:pt idx="21">
                  <c:v>-4.8714984208345413E-2</c:v>
                </c:pt>
                <c:pt idx="22">
                  <c:v>-4.7892063856124878E-2</c:v>
                </c:pt>
                <c:pt idx="23">
                  <c:v>-4.6759441494941711E-2</c:v>
                </c:pt>
                <c:pt idx="24">
                  <c:v>-4.5594558119773865E-2</c:v>
                </c:pt>
                <c:pt idx="25">
                  <c:v>-4.4648151844739914E-2</c:v>
                </c:pt>
                <c:pt idx="26">
                  <c:v>-4.3682888150215149E-2</c:v>
                </c:pt>
                <c:pt idx="27">
                  <c:v>-4.2550262063741684E-2</c:v>
                </c:pt>
                <c:pt idx="28">
                  <c:v>-4.157160222530365E-2</c:v>
                </c:pt>
                <c:pt idx="29">
                  <c:v>-4.1005291044712067E-2</c:v>
                </c:pt>
                <c:pt idx="30">
                  <c:v>-3.9654184132814407E-2</c:v>
                </c:pt>
                <c:pt idx="31">
                  <c:v>-3.8707781583070755E-2</c:v>
                </c:pt>
                <c:pt idx="32">
                  <c:v>-3.7698641419410706E-2</c:v>
                </c:pt>
                <c:pt idx="33">
                  <c:v>-3.6752238869667053E-2</c:v>
                </c:pt>
                <c:pt idx="34">
                  <c:v>-3.5587355494499207E-2</c:v>
                </c:pt>
                <c:pt idx="35">
                  <c:v>-3.5021044313907623E-2</c:v>
                </c:pt>
                <c:pt idx="36">
                  <c:v>-3.3669937402009964E-2</c:v>
                </c:pt>
                <c:pt idx="37">
                  <c:v>-3.2543063163757324E-2</c:v>
                </c:pt>
                <c:pt idx="38">
                  <c:v>-3.1758271157741547E-2</c:v>
                </c:pt>
                <c:pt idx="39">
                  <c:v>-3.0811866745352745E-2</c:v>
                </c:pt>
                <c:pt idx="40">
                  <c:v>-2.9706984758377075E-2</c:v>
                </c:pt>
                <c:pt idx="41">
                  <c:v>-2.8514357283711433E-2</c:v>
                </c:pt>
                <c:pt idx="42">
                  <c:v>-2.7729567140340805E-2</c:v>
                </c:pt>
                <c:pt idx="43">
                  <c:v>-2.6783162727952003E-2</c:v>
                </c:pt>
                <c:pt idx="44">
                  <c:v>-2.5678280740976334E-2</c:v>
                </c:pt>
                <c:pt idx="45">
                  <c:v>-2.5111967697739601E-2</c:v>
                </c:pt>
                <c:pt idx="46">
                  <c:v>-2.3580390959978104E-2</c:v>
                </c:pt>
                <c:pt idx="47">
                  <c:v>-2.3200299590826035E-2</c:v>
                </c:pt>
                <c:pt idx="48">
                  <c:v>-2.1849196404218674E-2</c:v>
                </c:pt>
                <c:pt idx="49">
                  <c:v>-2.0902791991829872E-2</c:v>
                </c:pt>
                <c:pt idx="50">
                  <c:v>-1.9513560459017754E-2</c:v>
                </c:pt>
                <c:pt idx="51">
                  <c:v>-1.759614422917366E-2</c:v>
                </c:pt>
                <c:pt idx="52">
                  <c:v>-1.7216052860021591E-2</c:v>
                </c:pt>
                <c:pt idx="53">
                  <c:v>-1.5864947810769081E-2</c:v>
                </c:pt>
                <c:pt idx="54">
                  <c:v>-1.5484857372939587E-2</c:v>
                </c:pt>
                <c:pt idx="55">
                  <c:v>-1.1655772104859352E-2</c:v>
                </c:pt>
                <c:pt idx="56">
                  <c:v>-7.7321045100688934E-3</c:v>
                </c:pt>
                <c:pt idx="57">
                  <c:v>-7.3654092848300934E-3</c:v>
                </c:pt>
                <c:pt idx="58">
                  <c:v>-5.6342137977480888E-3</c:v>
                </c:pt>
                <c:pt idx="59">
                  <c:v>-3.9030187763273716E-3</c:v>
                </c:pt>
                <c:pt idx="60">
                  <c:v>-1.6055104788392782E-3</c:v>
                </c:pt>
                <c:pt idx="61">
                  <c:v>-1.2254194589331746E-3</c:v>
                </c:pt>
                <c:pt idx="62">
                  <c:v>-3.769857285078615E-4</c:v>
                </c:pt>
                <c:pt idx="63">
                  <c:v>5.0577579531818628E-4</c:v>
                </c:pt>
                <c:pt idx="64">
                  <c:v>2.1476962137967348E-3</c:v>
                </c:pt>
                <c:pt idx="65">
                  <c:v>2.5277873501181602E-3</c:v>
                </c:pt>
                <c:pt idx="66">
                  <c:v>3.8788914680480957E-3</c:v>
                </c:pt>
                <c:pt idx="67">
                  <c:v>4.727325402200222E-3</c:v>
                </c:pt>
                <c:pt idx="68">
                  <c:v>5.7905600406229496E-3</c:v>
                </c:pt>
                <c:pt idx="69">
                  <c:v>6.8252156488597393E-3</c:v>
                </c:pt>
                <c:pt idx="70">
                  <c:v>7.7079772017896175E-3</c:v>
                </c:pt>
                <c:pt idx="71">
                  <c:v>8.5564106702804565E-3</c:v>
                </c:pt>
                <c:pt idx="72">
                  <c:v>9.5028150826692581E-3</c:v>
                </c:pt>
                <c:pt idx="73">
                  <c:v>1.1204852722585201E-2</c:v>
                </c:pt>
                <c:pt idx="74">
                  <c:v>1.1771165765821934E-2</c:v>
                </c:pt>
                <c:pt idx="75">
                  <c:v>1.4109626412391663E-2</c:v>
                </c:pt>
                <c:pt idx="76">
                  <c:v>1.457796897739172E-2</c:v>
                </c:pt>
                <c:pt idx="77">
                  <c:v>1.5840820968151093E-2</c:v>
                </c:pt>
                <c:pt idx="78">
                  <c:v>1.6689255833625793E-2</c:v>
                </c:pt>
                <c:pt idx="79">
                  <c:v>1.7635658383369446E-2</c:v>
                </c:pt>
                <c:pt idx="80">
                  <c:v>1.8606672063469887E-2</c:v>
                </c:pt>
                <c:pt idx="81">
                  <c:v>1.9553076475858688E-2</c:v>
                </c:pt>
                <c:pt idx="82">
                  <c:v>2.0717957988381386E-2</c:v>
                </c:pt>
                <c:pt idx="83">
                  <c:v>2.1664362400770187E-2</c:v>
                </c:pt>
                <c:pt idx="84">
                  <c:v>2.2673502564430237E-2</c:v>
                </c:pt>
                <c:pt idx="85">
                  <c:v>2.3619906976819038E-2</c:v>
                </c:pt>
                <c:pt idx="86">
                  <c:v>2.459091879427433E-2</c:v>
                </c:pt>
                <c:pt idx="87">
                  <c:v>2.5574633851647377E-2</c:v>
                </c:pt>
                <c:pt idx="88">
                  <c:v>2.6739517226815224E-2</c:v>
                </c:pt>
                <c:pt idx="89">
                  <c:v>2.7685919776558876E-2</c:v>
                </c:pt>
                <c:pt idx="90">
                  <c:v>2.9037024825811386E-2</c:v>
                </c:pt>
                <c:pt idx="91">
                  <c:v>2.9505368322134018E-2</c:v>
                </c:pt>
                <c:pt idx="92">
                  <c:v>3.0992569401860237E-2</c:v>
                </c:pt>
                <c:pt idx="93">
                  <c:v>3.1941797584295273E-2</c:v>
                </c:pt>
                <c:pt idx="94">
                  <c:v>3.2790232449769974E-2</c:v>
                </c:pt>
                <c:pt idx="95">
                  <c:v>3.3638663589954376E-2</c:v>
                </c:pt>
                <c:pt idx="96">
                  <c:v>3.4841515123844147E-2</c:v>
                </c:pt>
                <c:pt idx="97">
                  <c:v>3.5628538578748703E-2</c:v>
                </c:pt>
                <c:pt idx="98">
                  <c:v>3.6857061088085175E-2</c:v>
                </c:pt>
                <c:pt idx="99">
                  <c:v>3.7705495953559875E-2</c:v>
                </c:pt>
                <c:pt idx="100">
                  <c:v>3.8528256118297577E-2</c:v>
                </c:pt>
                <c:pt idx="101">
                  <c:v>3.9756782352924347E-2</c:v>
                </c:pt>
                <c:pt idx="102">
                  <c:v>4.0863074362277985E-2</c:v>
                </c:pt>
                <c:pt idx="103">
                  <c:v>4.1650094091892242E-2</c:v>
                </c:pt>
                <c:pt idx="104">
                  <c:v>4.2878620326519012E-2</c:v>
                </c:pt>
                <c:pt idx="105">
                  <c:v>4.3727051466703415E-2</c:v>
                </c:pt>
                <c:pt idx="106">
                  <c:v>4.4549815356731415E-2</c:v>
                </c:pt>
                <c:pt idx="107">
                  <c:v>4.5778337866067886E-2</c:v>
                </c:pt>
                <c:pt idx="108">
                  <c:v>4.66318279504776E-2</c:v>
                </c:pt>
                <c:pt idx="109">
                  <c:v>4.7922927886247635E-2</c:v>
                </c:pt>
                <c:pt idx="110">
                  <c:v>4.8683110624551773E-2</c:v>
                </c:pt>
                <c:pt idx="111">
                  <c:v>4.9531545490026474E-2</c:v>
                </c:pt>
                <c:pt idx="112">
                  <c:v>5.0822649151086807E-2</c:v>
                </c:pt>
                <c:pt idx="113">
                  <c:v>5.1582831889390945E-2</c:v>
                </c:pt>
                <c:pt idx="114">
                  <c:v>5.265338346362114E-2</c:v>
                </c:pt>
                <c:pt idx="115">
                  <c:v>5.350181832909584E-2</c:v>
                </c:pt>
                <c:pt idx="116">
                  <c:v>5.4704669862985611E-2</c:v>
                </c:pt>
                <c:pt idx="117">
                  <c:v>5.5553104728460312E-2</c:v>
                </c:pt>
                <c:pt idx="118">
                  <c:v>5.6755956262350082E-2</c:v>
                </c:pt>
                <c:pt idx="119">
                  <c:v>5.7604387402534485E-2</c:v>
                </c:pt>
                <c:pt idx="120">
                  <c:v>5.8546129614114761E-2</c:v>
                </c:pt>
                <c:pt idx="121">
                  <c:v>5.968639999628067E-2</c:v>
                </c:pt>
                <c:pt idx="122">
                  <c:v>6.0597412288188934E-2</c:v>
                </c:pt>
                <c:pt idx="123">
                  <c:v>6.1574660241603851E-2</c:v>
                </c:pt>
                <c:pt idx="124">
                  <c:v>6.267942488193512E-2</c:v>
                </c:pt>
                <c:pt idx="125">
                  <c:v>6.3625946640968323E-2</c:v>
                </c:pt>
                <c:pt idx="126">
                  <c:v>6.4567685127258301E-2</c:v>
                </c:pt>
                <c:pt idx="127">
                  <c:v>6.5707959234714508E-2</c:v>
                </c:pt>
                <c:pt idx="128">
                  <c:v>6.6530719399452209E-2</c:v>
                </c:pt>
                <c:pt idx="129">
                  <c:v>6.7847497761249542E-2</c:v>
                </c:pt>
                <c:pt idx="130">
                  <c:v>6.8700984120368958E-2</c:v>
                </c:pt>
                <c:pt idx="131">
                  <c:v>6.9549418985843658E-2</c:v>
                </c:pt>
                <c:pt idx="132">
                  <c:v>7.0752270519733429E-2</c:v>
                </c:pt>
                <c:pt idx="133">
                  <c:v>7.157503068447113E-2</c:v>
                </c:pt>
                <c:pt idx="134">
                  <c:v>7.2552278637886047E-2</c:v>
                </c:pt>
                <c:pt idx="135">
                  <c:v>7.3657043278217316E-2</c:v>
                </c:pt>
                <c:pt idx="136">
                  <c:v>7.4722543358802795E-2</c:v>
                </c:pt>
                <c:pt idx="137">
                  <c:v>7.5545303523540497E-2</c:v>
                </c:pt>
                <c:pt idx="138">
                  <c:v>7.686208188533783E-2</c:v>
                </c:pt>
                <c:pt idx="139">
                  <c:v>7.7596589922904968E-2</c:v>
                </c:pt>
                <c:pt idx="140">
                  <c:v>7.8533276915550232E-2</c:v>
                </c:pt>
                <c:pt idx="141">
                  <c:v>7.9766854643821716E-2</c:v>
                </c:pt>
                <c:pt idx="142">
                  <c:v>8.0501362681388855E-2</c:v>
                </c:pt>
                <c:pt idx="143">
                  <c:v>8.1566862761974335E-2</c:v>
                </c:pt>
                <c:pt idx="144">
                  <c:v>8.2503542304039001E-2</c:v>
                </c:pt>
                <c:pt idx="145">
                  <c:v>8.3706393837928772E-2</c:v>
                </c:pt>
                <c:pt idx="146">
                  <c:v>8.4939979016780853E-2</c:v>
                </c:pt>
                <c:pt idx="147">
                  <c:v>8.587665855884552E-2</c:v>
                </c:pt>
                <c:pt idx="148">
                  <c:v>8.6611174046993256E-2</c:v>
                </c:pt>
                <c:pt idx="149">
                  <c:v>8.784475177526474E-2</c:v>
                </c:pt>
                <c:pt idx="150">
                  <c:v>8.8781431317329407E-2</c:v>
                </c:pt>
                <c:pt idx="151">
                  <c:v>8.9515946805477142E-2</c:v>
                </c:pt>
                <c:pt idx="152">
                  <c:v>9.0581446886062622E-2</c:v>
                </c:pt>
                <c:pt idx="153">
                  <c:v>9.1784298419952393E-2</c:v>
                </c:pt>
                <c:pt idx="154">
                  <c:v>9.2751704156398773E-2</c:v>
                </c:pt>
                <c:pt idx="155">
                  <c:v>9.3954555690288544E-2</c:v>
                </c:pt>
                <c:pt idx="156">
                  <c:v>9.5157407224178314E-2</c:v>
                </c:pt>
                <c:pt idx="157">
                  <c:v>9.565647691488266E-2</c:v>
                </c:pt>
                <c:pt idx="158">
                  <c:v>9.685932844877243E-2</c:v>
                </c:pt>
                <c:pt idx="159">
                  <c:v>9.792482852935791E-2</c:v>
                </c:pt>
                <c:pt idx="160">
                  <c:v>9.9127680063247681E-2</c:v>
                </c:pt>
                <c:pt idx="161">
                  <c:v>9.9626749753952026E-2</c:v>
                </c:pt>
                <c:pt idx="162">
                  <c:v>0.1008296012878418</c:v>
                </c:pt>
                <c:pt idx="163">
                  <c:v>0.10189510136842728</c:v>
                </c:pt>
                <c:pt idx="164">
                  <c:v>0.10253152251243591</c:v>
                </c:pt>
                <c:pt idx="165">
                  <c:v>0.10359702259302139</c:v>
                </c:pt>
                <c:pt idx="166">
                  <c:v>0.10479987412691116</c:v>
                </c:pt>
                <c:pt idx="167">
                  <c:v>0.10650179535150528</c:v>
                </c:pt>
                <c:pt idx="168">
                  <c:v>0.10877014696598053</c:v>
                </c:pt>
                <c:pt idx="169">
                  <c:v>0.11103849858045578</c:v>
                </c:pt>
                <c:pt idx="170">
                  <c:v>0.11160492897033691</c:v>
                </c:pt>
                <c:pt idx="171">
                  <c:v>0.11330685019493103</c:v>
                </c:pt>
                <c:pt idx="172">
                  <c:v>0.11387328058481216</c:v>
                </c:pt>
                <c:pt idx="173">
                  <c:v>0.11557520180940628</c:v>
                </c:pt>
                <c:pt idx="174">
                  <c:v>0.11784355342388153</c:v>
                </c:pt>
                <c:pt idx="175">
                  <c:v>0.12011190503835678</c:v>
                </c:pt>
                <c:pt idx="176">
                  <c:v>0.12238025665283203</c:v>
                </c:pt>
                <c:pt idx="177">
                  <c:v>0.12464860826730728</c:v>
                </c:pt>
                <c:pt idx="178">
                  <c:v>0.12691695988178253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A-4C0E-AFE3-C928056FC81E}"/>
            </c:ext>
          </c:extLst>
        </c:ser>
        <c:ser>
          <c:idx val="1"/>
          <c:order val="1"/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pPr>
              <a:solidFill>
                <a:srgbClr val="C0504D"/>
              </a:solidFill>
              <a:ln w="9525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noFill/>
                    <a:prstDash val="solid"/>
                    <a:round/>
                  </a14:hiddenLine>
                </a:ext>
              </a:extLst>
            </c:spPr>
          </c:marker>
          <c:xVal>
            <c:numRef>
              <c:f>Aid!$AD$11:$AD$199</c:f>
              <c:numCache>
                <c:formatCode>General</c:formatCode>
                <c:ptCount val="189"/>
                <c:pt idx="0">
                  <c:v>0.13997372815017109</c:v>
                </c:pt>
                <c:pt idx="1">
                  <c:v>0.12177412017151658</c:v>
                </c:pt>
                <c:pt idx="2">
                  <c:v>0.1175502095367624</c:v>
                </c:pt>
                <c:pt idx="3">
                  <c:v>0.11571442484754074</c:v>
                </c:pt>
                <c:pt idx="4">
                  <c:v>0.11019094220268465</c:v>
                </c:pt>
                <c:pt idx="5">
                  <c:v>0.10506552857975521</c:v>
                </c:pt>
                <c:pt idx="6">
                  <c:v>0.10438271457163391</c:v>
                </c:pt>
                <c:pt idx="7">
                  <c:v>9.9758599168590242E-2</c:v>
                </c:pt>
                <c:pt idx="8">
                  <c:v>9.5504999360833065E-2</c:v>
                </c:pt>
                <c:pt idx="9">
                  <c:v>9.416247662596533E-2</c:v>
                </c:pt>
                <c:pt idx="10">
                  <c:v>9.0874305704303202E-2</c:v>
                </c:pt>
                <c:pt idx="11">
                  <c:v>8.7159879925269718E-2</c:v>
                </c:pt>
                <c:pt idx="12">
                  <c:v>8.4620304165960752E-2</c:v>
                </c:pt>
                <c:pt idx="13">
                  <c:v>8.2035641700349146E-2</c:v>
                </c:pt>
                <c:pt idx="14">
                  <c:v>8.0401969594996306E-2</c:v>
                </c:pt>
                <c:pt idx="15">
                  <c:v>7.7951973005466468E-2</c:v>
                </c:pt>
                <c:pt idx="16">
                  <c:v>7.5777187681916464E-2</c:v>
                </c:pt>
                <c:pt idx="17">
                  <c:v>7.2972355237873029E-2</c:v>
                </c:pt>
                <c:pt idx="18">
                  <c:v>7.1494951082208782E-2</c:v>
                </c:pt>
                <c:pt idx="19">
                  <c:v>6.9874094734292E-2</c:v>
                </c:pt>
                <c:pt idx="20">
                  <c:v>6.7883083220196525E-2</c:v>
                </c:pt>
                <c:pt idx="21">
                  <c:v>6.673695758883437E-2</c:v>
                </c:pt>
                <c:pt idx="22">
                  <c:v>6.4801955091781785E-2</c:v>
                </c:pt>
                <c:pt idx="23">
                  <c:v>6.382805699567852E-2</c:v>
                </c:pt>
                <c:pt idx="24">
                  <c:v>6.2244027612538784E-2</c:v>
                </c:pt>
                <c:pt idx="25">
                  <c:v>6.1217045569867061E-2</c:v>
                </c:pt>
                <c:pt idx="26">
                  <c:v>5.9822610754982547E-2</c:v>
                </c:pt>
                <c:pt idx="27">
                  <c:v>5.9014099247238085E-2</c:v>
                </c:pt>
                <c:pt idx="28">
                  <c:v>5.773521374775669E-2</c:v>
                </c:pt>
                <c:pt idx="29">
                  <c:v>5.6828961710979807E-2</c:v>
                </c:pt>
                <c:pt idx="30">
                  <c:v>5.5584505562900857E-2</c:v>
                </c:pt>
                <c:pt idx="31">
                  <c:v>5.463961327271695E-2</c:v>
                </c:pt>
                <c:pt idx="32">
                  <c:v>5.3343135215458096E-2</c:v>
                </c:pt>
                <c:pt idx="33">
                  <c:v>5.2531349883627336E-2</c:v>
                </c:pt>
                <c:pt idx="34">
                  <c:v>5.140230540023881E-2</c:v>
                </c:pt>
                <c:pt idx="35">
                  <c:v>5.0723562798594315E-2</c:v>
                </c:pt>
                <c:pt idx="36">
                  <c:v>4.9730179225843149E-2</c:v>
                </c:pt>
                <c:pt idx="37">
                  <c:v>4.8830228842174583E-2</c:v>
                </c:pt>
                <c:pt idx="38">
                  <c:v>4.7582194797358569E-2</c:v>
                </c:pt>
                <c:pt idx="39">
                  <c:v>4.6912261646209562E-2</c:v>
                </c:pt>
                <c:pt idx="40">
                  <c:v>4.587931726560672E-2</c:v>
                </c:pt>
                <c:pt idx="41">
                  <c:v>4.5276395803247924E-2</c:v>
                </c:pt>
                <c:pt idx="42">
                  <c:v>4.4480870620714021E-2</c:v>
                </c:pt>
                <c:pt idx="43">
                  <c:v>4.3960701516225671E-2</c:v>
                </c:pt>
                <c:pt idx="44">
                  <c:v>4.2959193377995572E-2</c:v>
                </c:pt>
                <c:pt idx="45">
                  <c:v>4.2740515646478357E-2</c:v>
                </c:pt>
                <c:pt idx="46">
                  <c:v>4.1558409778430873E-2</c:v>
                </c:pt>
                <c:pt idx="47">
                  <c:v>4.1403140511707653E-2</c:v>
                </c:pt>
                <c:pt idx="48">
                  <c:v>4.0540109749073107E-2</c:v>
                </c:pt>
                <c:pt idx="49">
                  <c:v>4.0312048818181699E-2</c:v>
                </c:pt>
                <c:pt idx="50">
                  <c:v>3.9279150838713472E-2</c:v>
                </c:pt>
                <c:pt idx="51">
                  <c:v>3.8426536295389821E-2</c:v>
                </c:pt>
                <c:pt idx="52">
                  <c:v>3.8271574756747716E-2</c:v>
                </c:pt>
                <c:pt idx="53">
                  <c:v>3.7869491968118729E-2</c:v>
                </c:pt>
                <c:pt idx="54">
                  <c:v>3.7693502158463767E-2</c:v>
                </c:pt>
                <c:pt idx="55">
                  <c:v>3.7199196548819348E-2</c:v>
                </c:pt>
                <c:pt idx="56">
                  <c:v>3.7144870855404376E-2</c:v>
                </c:pt>
                <c:pt idx="57">
                  <c:v>3.7048199553102311E-2</c:v>
                </c:pt>
                <c:pt idx="58">
                  <c:v>3.6085640652472689E-2</c:v>
                </c:pt>
                <c:pt idx="59">
                  <c:v>3.5726285242276071E-2</c:v>
                </c:pt>
                <c:pt idx="60">
                  <c:v>3.583443023042996E-2</c:v>
                </c:pt>
                <c:pt idx="61">
                  <c:v>3.5901239684805866E-2</c:v>
                </c:pt>
                <c:pt idx="62">
                  <c:v>3.6391789203963881E-2</c:v>
                </c:pt>
                <c:pt idx="63">
                  <c:v>3.6440391930497716E-2</c:v>
                </c:pt>
                <c:pt idx="64">
                  <c:v>3.6600574839579111E-2</c:v>
                </c:pt>
                <c:pt idx="65">
                  <c:v>3.6883322165733597E-2</c:v>
                </c:pt>
                <c:pt idx="66">
                  <c:v>3.6947792635695607E-2</c:v>
                </c:pt>
                <c:pt idx="67">
                  <c:v>3.7396924780693765E-2</c:v>
                </c:pt>
                <c:pt idx="68">
                  <c:v>3.7567603944012977E-2</c:v>
                </c:pt>
                <c:pt idx="69">
                  <c:v>3.7731094633139027E-2</c:v>
                </c:pt>
                <c:pt idx="70">
                  <c:v>3.7969988482953548E-2</c:v>
                </c:pt>
                <c:pt idx="71">
                  <c:v>3.8015770357122843E-2</c:v>
                </c:pt>
                <c:pt idx="72">
                  <c:v>3.8816146387798844E-2</c:v>
                </c:pt>
                <c:pt idx="73">
                  <c:v>3.8871615385229423E-2</c:v>
                </c:pt>
                <c:pt idx="74">
                  <c:v>3.9303456443206181E-2</c:v>
                </c:pt>
                <c:pt idx="75">
                  <c:v>3.937437835734206E-2</c:v>
                </c:pt>
                <c:pt idx="76">
                  <c:v>3.9596824291374969E-2</c:v>
                </c:pt>
                <c:pt idx="77">
                  <c:v>3.9907057505414283E-2</c:v>
                </c:pt>
                <c:pt idx="78">
                  <c:v>4.0083315401601066E-2</c:v>
                </c:pt>
                <c:pt idx="79">
                  <c:v>4.088027986309202E-2</c:v>
                </c:pt>
                <c:pt idx="80">
                  <c:v>4.0888400998983096E-2</c:v>
                </c:pt>
                <c:pt idx="81">
                  <c:v>4.1582064084615233E-2</c:v>
                </c:pt>
                <c:pt idx="82">
                  <c:v>4.2120663173480774E-2</c:v>
                </c:pt>
                <c:pt idx="83">
                  <c:v>4.308103724224447E-2</c:v>
                </c:pt>
                <c:pt idx="84">
                  <c:v>4.3525409424647936E-2</c:v>
                </c:pt>
                <c:pt idx="85">
                  <c:v>4.465970594773979E-2</c:v>
                </c:pt>
                <c:pt idx="86">
                  <c:v>4.5102791504015631E-2</c:v>
                </c:pt>
                <c:pt idx="87">
                  <c:v>4.6121493172554671E-2</c:v>
                </c:pt>
                <c:pt idx="88">
                  <c:v>4.6382177747857613E-2</c:v>
                </c:pt>
                <c:pt idx="89">
                  <c:v>4.7027054058958788E-2</c:v>
                </c:pt>
                <c:pt idx="90">
                  <c:v>4.7582377415043876E-2</c:v>
                </c:pt>
                <c:pt idx="91">
                  <c:v>4.851661275780611E-2</c:v>
                </c:pt>
                <c:pt idx="92">
                  <c:v>4.9227607313605551E-2</c:v>
                </c:pt>
                <c:pt idx="93">
                  <c:v>5.0068749629513902E-2</c:v>
                </c:pt>
                <c:pt idx="94">
                  <c:v>5.0155090756106753E-2</c:v>
                </c:pt>
                <c:pt idx="95">
                  <c:v>5.1253333663746618E-2</c:v>
                </c:pt>
                <c:pt idx="96">
                  <c:v>5.2289719207602739E-2</c:v>
                </c:pt>
                <c:pt idx="97">
                  <c:v>5.3183872928842753E-2</c:v>
                </c:pt>
                <c:pt idx="98">
                  <c:v>5.3807538153286177E-2</c:v>
                </c:pt>
                <c:pt idx="99">
                  <c:v>5.4984555036483328E-2</c:v>
                </c:pt>
                <c:pt idx="100">
                  <c:v>5.5636050931116031E-2</c:v>
                </c:pt>
                <c:pt idx="101">
                  <c:v>5.7282721537313369E-2</c:v>
                </c:pt>
                <c:pt idx="102">
                  <c:v>5.8823037335374848E-2</c:v>
                </c:pt>
                <c:pt idx="103">
                  <c:v>5.9586391179577543E-2</c:v>
                </c:pt>
                <c:pt idx="104">
                  <c:v>6.009173527496E-2</c:v>
                </c:pt>
                <c:pt idx="105">
                  <c:v>6.119188937750767E-2</c:v>
                </c:pt>
                <c:pt idx="106">
                  <c:v>6.1967359271614356E-2</c:v>
                </c:pt>
                <c:pt idx="107">
                  <c:v>6.3400673898257265E-2</c:v>
                </c:pt>
                <c:pt idx="108">
                  <c:v>6.465563517951603E-2</c:v>
                </c:pt>
                <c:pt idx="109">
                  <c:v>6.6201241606682518E-2</c:v>
                </c:pt>
                <c:pt idx="110">
                  <c:v>6.6928477632155328E-2</c:v>
                </c:pt>
                <c:pt idx="111">
                  <c:v>6.7987237112095297E-2</c:v>
                </c:pt>
                <c:pt idx="112">
                  <c:v>7.0305641008648598E-2</c:v>
                </c:pt>
                <c:pt idx="113">
                  <c:v>7.1371392228702021E-2</c:v>
                </c:pt>
                <c:pt idx="114">
                  <c:v>7.2585073704547073E-2</c:v>
                </c:pt>
                <c:pt idx="115">
                  <c:v>7.3670951381999028E-2</c:v>
                </c:pt>
                <c:pt idx="116">
                  <c:v>7.4731868124572387E-2</c:v>
                </c:pt>
                <c:pt idx="117">
                  <c:v>7.5717078338756433E-2</c:v>
                </c:pt>
                <c:pt idx="118">
                  <c:v>7.8001569708458923E-2</c:v>
                </c:pt>
                <c:pt idx="119">
                  <c:v>7.8878871706478157E-2</c:v>
                </c:pt>
                <c:pt idx="120">
                  <c:v>8.0309189381369703E-2</c:v>
                </c:pt>
                <c:pt idx="121">
                  <c:v>8.1988563355132008E-2</c:v>
                </c:pt>
                <c:pt idx="122">
                  <c:v>8.3215307357004359E-2</c:v>
                </c:pt>
                <c:pt idx="123">
                  <c:v>8.492763947881464E-2</c:v>
                </c:pt>
                <c:pt idx="124">
                  <c:v>8.6994065582204655E-2</c:v>
                </c:pt>
                <c:pt idx="125">
                  <c:v>8.7856096134394004E-2</c:v>
                </c:pt>
                <c:pt idx="126">
                  <c:v>8.9197035760141041E-2</c:v>
                </c:pt>
                <c:pt idx="127">
                  <c:v>9.0519520582041185E-2</c:v>
                </c:pt>
                <c:pt idx="128">
                  <c:v>9.1771193409574445E-2</c:v>
                </c:pt>
                <c:pt idx="129">
                  <c:v>9.351145156143903E-2</c:v>
                </c:pt>
                <c:pt idx="130">
                  <c:v>9.521840066868402E-2</c:v>
                </c:pt>
                <c:pt idx="131">
                  <c:v>9.6691349589301923E-2</c:v>
                </c:pt>
                <c:pt idx="132">
                  <c:v>9.7906400705348479E-2</c:v>
                </c:pt>
                <c:pt idx="133">
                  <c:v>0.10034737829303765</c:v>
                </c:pt>
                <c:pt idx="134">
                  <c:v>0.10141925308986034</c:v>
                </c:pt>
                <c:pt idx="135">
                  <c:v>0.10359874514616699</c:v>
                </c:pt>
                <c:pt idx="136">
                  <c:v>0.10456546589839395</c:v>
                </c:pt>
                <c:pt idx="137">
                  <c:v>0.10611790830925569</c:v>
                </c:pt>
                <c:pt idx="138">
                  <c:v>0.10804142710737552</c:v>
                </c:pt>
                <c:pt idx="139">
                  <c:v>0.10944229444229216</c:v>
                </c:pt>
                <c:pt idx="140">
                  <c:v>0.11125386892463221</c:v>
                </c:pt>
                <c:pt idx="141">
                  <c:v>0.11283129431607043</c:v>
                </c:pt>
                <c:pt idx="142">
                  <c:v>0.11500952224789911</c:v>
                </c:pt>
                <c:pt idx="143">
                  <c:v>0.11627836070697459</c:v>
                </c:pt>
                <c:pt idx="144">
                  <c:v>0.11833227111052719</c:v>
                </c:pt>
                <c:pt idx="145">
                  <c:v>0.12023728209774852</c:v>
                </c:pt>
                <c:pt idx="146">
                  <c:v>0.12181299076174437</c:v>
                </c:pt>
                <c:pt idx="147">
                  <c:v>0.12409156491022337</c:v>
                </c:pt>
                <c:pt idx="148">
                  <c:v>0.12496996723216085</c:v>
                </c:pt>
                <c:pt idx="149">
                  <c:v>0.12760530038961707</c:v>
                </c:pt>
                <c:pt idx="150">
                  <c:v>0.12912531419981915</c:v>
                </c:pt>
                <c:pt idx="151">
                  <c:v>0.13070480627963324</c:v>
                </c:pt>
                <c:pt idx="152">
                  <c:v>0.13248644290000502</c:v>
                </c:pt>
                <c:pt idx="153">
                  <c:v>0.13505124346549424</c:v>
                </c:pt>
                <c:pt idx="154">
                  <c:v>0.13713448544926982</c:v>
                </c:pt>
                <c:pt idx="155">
                  <c:v>0.13848651932493417</c:v>
                </c:pt>
                <c:pt idx="156">
                  <c:v>0.14091912864004813</c:v>
                </c:pt>
                <c:pt idx="157">
                  <c:v>0.14269081890931765</c:v>
                </c:pt>
                <c:pt idx="158">
                  <c:v>0.14436032447882427</c:v>
                </c:pt>
                <c:pt idx="159">
                  <c:v>0.14712814390311491</c:v>
                </c:pt>
                <c:pt idx="160">
                  <c:v>0.1488101418101479</c:v>
                </c:pt>
                <c:pt idx="161">
                  <c:v>0.15160860511466021</c:v>
                </c:pt>
                <c:pt idx="162">
                  <c:v>0.15258599353373917</c:v>
                </c:pt>
                <c:pt idx="163">
                  <c:v>0.15694724269058308</c:v>
                </c:pt>
                <c:pt idx="164">
                  <c:v>0.15754410259552876</c:v>
                </c:pt>
                <c:pt idx="165">
                  <c:v>0.16163922808147482</c:v>
                </c:pt>
                <c:pt idx="166">
                  <c:v>0.16199579972297407</c:v>
                </c:pt>
                <c:pt idx="167">
                  <c:v>0.16714252187279902</c:v>
                </c:pt>
                <c:pt idx="168">
                  <c:v>0.17239595238651725</c:v>
                </c:pt>
                <c:pt idx="169">
                  <c:v>0.17918889521725007</c:v>
                </c:pt>
                <c:pt idx="170">
                  <c:v>0.18476322051660232</c:v>
                </c:pt>
                <c:pt idx="171">
                  <c:v>0.18735396960772402</c:v>
                </c:pt>
                <c:pt idx="172">
                  <c:v>0.19487985651574746</c:v>
                </c:pt>
                <c:pt idx="173">
                  <c:v>0.19672039465961433</c:v>
                </c:pt>
                <c:pt idx="174">
                  <c:v>0.20712525536729201</c:v>
                </c:pt>
                <c:pt idx="175">
                  <c:v>0.21842019855216341</c:v>
                </c:pt>
                <c:pt idx="176">
                  <c:v>0.2304743995519592</c:v>
                </c:pt>
                <c:pt idx="177">
                  <c:v>0.24317497517379297</c:v>
                </c:pt>
                <c:pt idx="178">
                  <c:v>0.25642590009861055</c:v>
                </c:pt>
                <c:pt idx="179">
                  <c:v>0.20063595850282828</c:v>
                </c:pt>
                <c:pt idx="180">
                  <c:v>0.17535113579494871</c:v>
                </c:pt>
                <c:pt idx="181">
                  <c:v>0.10045753867558627</c:v>
                </c:pt>
                <c:pt idx="182">
                  <c:v>8.2829880183049931E-2</c:v>
                </c:pt>
                <c:pt idx="183">
                  <c:v>5.4108306602759393E-2</c:v>
                </c:pt>
                <c:pt idx="184">
                  <c:v>9.4445300507253832E-2</c:v>
                </c:pt>
                <c:pt idx="185">
                  <c:v>0.14378341456002253</c:v>
                </c:pt>
                <c:pt idx="186">
                  <c:v>0.19167375123682048</c:v>
                </c:pt>
                <c:pt idx="187">
                  <c:v>0.21958147750811566</c:v>
                </c:pt>
                <c:pt idx="188">
                  <c:v>0.25642591094292416</c:v>
                </c:pt>
              </c:numCache>
            </c:numRef>
          </c:xVal>
          <c:yVal>
            <c:numRef>
              <c:f>Aid!$AF$11:$AF$199</c:f>
              <c:numCache>
                <c:formatCode>General</c:formatCode>
                <c:ptCount val="189"/>
                <c:pt idx="179">
                  <c:v>-6.7248977720737457E-2</c:v>
                </c:pt>
                <c:pt idx="180">
                  <c:v>-7.0095911622047424E-2</c:v>
                </c:pt>
                <c:pt idx="181">
                  <c:v>-3.9464365690946579E-2</c:v>
                </c:pt>
                <c:pt idx="182">
                  <c:v>-2.8138104826211929E-2</c:v>
                </c:pt>
                <c:pt idx="183">
                  <c:v>6.4857997931540012E-3</c:v>
                </c:pt>
                <c:pt idx="184">
                  <c:v>1.4087620191276073E-2</c:v>
                </c:pt>
                <c:pt idx="185">
                  <c:v>2.3454474285244942E-2</c:v>
                </c:pt>
                <c:pt idx="186">
                  <c:v>4.7511506825685501E-2</c:v>
                </c:pt>
                <c:pt idx="187">
                  <c:v>8.1549935042858124E-2</c:v>
                </c:pt>
                <c:pt idx="188">
                  <c:v>0.12691695988178253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8A-4C0E-AFE3-C928056FC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55168"/>
        <c:axId val="159261824"/>
      </c:scatterChart>
      <c:valAx>
        <c:axId val="159255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Risk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261824"/>
        <c:crosses val="autoZero"/>
        <c:crossBetween val="midCat"/>
      </c:valAx>
      <c:valAx>
        <c:axId val="1592618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Expected Return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255168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7"/>
  <sheetViews>
    <sheetView zoomScale="90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1</xdr:row>
      <xdr:rowOff>66675</xdr:rowOff>
    </xdr:from>
    <xdr:to>
      <xdr:col>8</xdr:col>
      <xdr:colOff>333375</xdr:colOff>
      <xdr:row>5</xdr:row>
      <xdr:rowOff>114300</xdr:rowOff>
    </xdr:to>
    <xdr:sp macro="[0]!mainprocedure" textlink="">
      <xdr:nvSpPr>
        <xdr:cNvPr id="2" name="TextBox 1"/>
        <xdr:cNvSpPr txBox="1"/>
      </xdr:nvSpPr>
      <xdr:spPr>
        <a:xfrm>
          <a:off x="2771775" y="257175"/>
          <a:ext cx="2438400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k-SK" sz="1100" b="1"/>
            <a:t>Version 1.0</a:t>
          </a:r>
        </a:p>
        <a:p>
          <a:pPr algn="ctr"/>
          <a:r>
            <a:rPr lang="sk-SK" sz="2000" b="1"/>
            <a:t>MENU</a:t>
          </a:r>
        </a:p>
        <a:p>
          <a:endParaRPr lang="sk-S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4471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18</xdr:row>
      <xdr:rowOff>47625</xdr:rowOff>
    </xdr:from>
    <xdr:to>
      <xdr:col>3</xdr:col>
      <xdr:colOff>219075</xdr:colOff>
      <xdr:row>31</xdr:row>
      <xdr:rowOff>9525</xdr:rowOff>
    </xdr:to>
    <xdr:cxnSp macro="">
      <xdr:nvCxnSpPr>
        <xdr:cNvPr id="2" name="Straight Arrow Connector 2"/>
        <xdr:cNvCxnSpPr>
          <a:cxnSpLocks noChangeShapeType="1"/>
        </xdr:cNvCxnSpPr>
      </xdr:nvCxnSpPr>
      <xdr:spPr bwMode="auto">
        <a:xfrm rot="5400000" flipH="1" flipV="1">
          <a:off x="1009650" y="3352800"/>
          <a:ext cx="2076450" cy="139065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0</xdr:col>
      <xdr:colOff>57150</xdr:colOff>
      <xdr:row>31</xdr:row>
      <xdr:rowOff>9525</xdr:rowOff>
    </xdr:from>
    <xdr:to>
      <xdr:col>1</xdr:col>
      <xdr:colOff>47625</xdr:colOff>
      <xdr:row>31</xdr:row>
      <xdr:rowOff>19050</xdr:rowOff>
    </xdr:to>
    <xdr:cxnSp macro="">
      <xdr:nvCxnSpPr>
        <xdr:cNvPr id="3" name="Straight Connector 6"/>
        <xdr:cNvCxnSpPr>
          <a:cxnSpLocks noChangeShapeType="1"/>
        </xdr:cNvCxnSpPr>
      </xdr:nvCxnSpPr>
      <xdr:spPr bwMode="auto">
        <a:xfrm rot="10800000" flipV="1">
          <a:off x="57150" y="5086350"/>
          <a:ext cx="12954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6</xdr:col>
      <xdr:colOff>342900</xdr:colOff>
      <xdr:row>7</xdr:row>
      <xdr:rowOff>76200</xdr:rowOff>
    </xdr:from>
    <xdr:to>
      <xdr:col>8</xdr:col>
      <xdr:colOff>38100</xdr:colOff>
      <xdr:row>9</xdr:row>
      <xdr:rowOff>9525</xdr:rowOff>
    </xdr:to>
    <xdr:cxnSp macro="">
      <xdr:nvCxnSpPr>
        <xdr:cNvPr id="4" name="Straight Arrow Connector 9"/>
        <xdr:cNvCxnSpPr>
          <a:cxnSpLocks noChangeShapeType="1"/>
        </xdr:cNvCxnSpPr>
      </xdr:nvCxnSpPr>
      <xdr:spPr bwMode="auto">
        <a:xfrm rot="10800000">
          <a:off x="5010150" y="1228725"/>
          <a:ext cx="1076325" cy="26670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</xdr:spPr>
    </xdr:cxnSp>
    <xdr:clientData/>
  </xdr:twoCellAnchor>
  <xdr:twoCellAnchor>
    <xdr:from>
      <xdr:col>0</xdr:col>
      <xdr:colOff>57150</xdr:colOff>
      <xdr:row>31</xdr:row>
      <xdr:rowOff>9525</xdr:rowOff>
    </xdr:from>
    <xdr:to>
      <xdr:col>1</xdr:col>
      <xdr:colOff>47625</xdr:colOff>
      <xdr:row>31</xdr:row>
      <xdr:rowOff>19050</xdr:rowOff>
    </xdr:to>
    <xdr:cxnSp macro="">
      <xdr:nvCxnSpPr>
        <xdr:cNvPr id="5" name="Straight Connector 6"/>
        <xdr:cNvCxnSpPr>
          <a:cxnSpLocks noChangeShapeType="1"/>
        </xdr:cNvCxnSpPr>
      </xdr:nvCxnSpPr>
      <xdr:spPr bwMode="auto">
        <a:xfrm rot="10800000" flipV="1">
          <a:off x="57150" y="5086350"/>
          <a:ext cx="12954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8</xdr:col>
      <xdr:colOff>47625</xdr:colOff>
      <xdr:row>9</xdr:row>
      <xdr:rowOff>0</xdr:rowOff>
    </xdr:from>
    <xdr:to>
      <xdr:col>10</xdr:col>
      <xdr:colOff>152400</xdr:colOff>
      <xdr:row>9</xdr:row>
      <xdr:rowOff>9525</xdr:rowOff>
    </xdr:to>
    <xdr:cxnSp macro="">
      <xdr:nvCxnSpPr>
        <xdr:cNvPr id="6" name="Straight Connector 12"/>
        <xdr:cNvCxnSpPr>
          <a:cxnSpLocks noChangeShapeType="1"/>
        </xdr:cNvCxnSpPr>
      </xdr:nvCxnSpPr>
      <xdr:spPr bwMode="auto">
        <a:xfrm flipV="1">
          <a:off x="6096000" y="1485900"/>
          <a:ext cx="108585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20"/>
  <sheetViews>
    <sheetView tabSelected="1" workbookViewId="0"/>
  </sheetViews>
  <sheetFormatPr defaultRowHeight="15" x14ac:dyDescent="0.25"/>
  <cols>
    <col min="1" max="1" width="27.140625" style="69" bestFit="1" customWidth="1"/>
    <col min="2" max="26" width="12.7109375" style="69" bestFit="1" customWidth="1"/>
    <col min="27" max="16384" width="9.140625" style="69"/>
  </cols>
  <sheetData>
    <row r="1" spans="1:61" x14ac:dyDescent="0.25">
      <c r="A1" s="69" t="s">
        <v>47</v>
      </c>
    </row>
    <row r="2" spans="1:61" x14ac:dyDescent="0.25">
      <c r="A2" s="69" t="s">
        <v>39</v>
      </c>
    </row>
    <row r="3" spans="1:61" x14ac:dyDescent="0.25">
      <c r="A3" s="69" t="s">
        <v>48</v>
      </c>
    </row>
    <row r="4" spans="1:61" x14ac:dyDescent="0.25">
      <c r="A4" s="69" t="s">
        <v>46</v>
      </c>
      <c r="H4" s="41"/>
      <c r="I4" s="41"/>
    </row>
    <row r="5" spans="1:61" x14ac:dyDescent="0.25">
      <c r="A5" s="69" t="s">
        <v>30</v>
      </c>
      <c r="J5" s="69" t="s">
        <v>28</v>
      </c>
      <c r="L5" s="69">
        <v>-7.0099999999999996E-2</v>
      </c>
    </row>
    <row r="6" spans="1:61" x14ac:dyDescent="0.25">
      <c r="A6" s="69" t="s">
        <v>38</v>
      </c>
      <c r="J6" s="69" t="s">
        <v>29</v>
      </c>
      <c r="L6" s="69">
        <v>0.12690000000000001</v>
      </c>
    </row>
    <row r="7" spans="1:61" ht="15.75" thickBot="1" x14ac:dyDescent="0.3">
      <c r="A7" s="69" t="s">
        <v>37</v>
      </c>
      <c r="D7" s="70"/>
      <c r="E7" s="43">
        <v>0.35378472222222218</v>
      </c>
      <c r="F7" s="43">
        <v>0.35447916666666668</v>
      </c>
      <c r="G7" s="43">
        <f>F7-E7</f>
        <v>6.9444444444449749E-4</v>
      </c>
      <c r="H7" s="70"/>
      <c r="I7" s="70"/>
      <c r="J7" s="76" t="s">
        <v>32</v>
      </c>
      <c r="K7" s="76"/>
      <c r="L7" s="44">
        <v>10015005</v>
      </c>
    </row>
    <row r="8" spans="1:61" ht="15.75" thickBot="1" x14ac:dyDescent="0.3">
      <c r="A8" s="69" t="s">
        <v>40</v>
      </c>
      <c r="D8" s="70"/>
      <c r="E8" s="74" t="s">
        <v>10</v>
      </c>
      <c r="F8" s="75"/>
      <c r="G8" s="72">
        <v>1000000</v>
      </c>
      <c r="H8" s="73"/>
      <c r="I8" s="70"/>
      <c r="J8" s="76" t="s">
        <v>31</v>
      </c>
      <c r="K8" s="76"/>
      <c r="L8" s="44">
        <v>179</v>
      </c>
    </row>
    <row r="9" spans="1:61" x14ac:dyDescent="0.25">
      <c r="B9" s="2" t="s">
        <v>1</v>
      </c>
      <c r="D9" s="70"/>
      <c r="E9" s="70"/>
      <c r="F9" s="70"/>
      <c r="G9" s="70"/>
      <c r="H9" s="70"/>
      <c r="I9" s="70"/>
    </row>
    <row r="10" spans="1:61" x14ac:dyDescent="0.25">
      <c r="A10" s="1" t="s">
        <v>0</v>
      </c>
      <c r="B10" s="1" t="s">
        <v>2</v>
      </c>
      <c r="C10" s="1" t="s">
        <v>2</v>
      </c>
      <c r="D10" s="1" t="s">
        <v>2</v>
      </c>
      <c r="E10" s="1" t="s">
        <v>2</v>
      </c>
      <c r="F10" s="1" t="s">
        <v>2</v>
      </c>
      <c r="G10" s="1" t="s">
        <v>2</v>
      </c>
      <c r="H10" s="1" t="s">
        <v>2</v>
      </c>
      <c r="I10" s="1" t="s">
        <v>2</v>
      </c>
      <c r="J10" s="1" t="s">
        <v>2</v>
      </c>
      <c r="K10" s="1" t="s">
        <v>2</v>
      </c>
      <c r="L10" s="69" t="s">
        <v>3</v>
      </c>
    </row>
    <row r="11" spans="1:61" x14ac:dyDescent="0.25">
      <c r="A11" s="42" t="s">
        <v>42</v>
      </c>
      <c r="B11" s="69">
        <v>-0.18546039361160599</v>
      </c>
      <c r="C11" s="69">
        <v>-5.2378455281266501E-2</v>
      </c>
      <c r="D11" s="69">
        <v>-9.6572588861962697E-2</v>
      </c>
      <c r="E11" s="69">
        <v>0.106224809977747</v>
      </c>
      <c r="F11" s="69">
        <v>-5.5436033192723298E-2</v>
      </c>
      <c r="G11" s="69">
        <v>-1.3087681600423199E-2</v>
      </c>
      <c r="H11" s="69">
        <v>-0.20217604379034099</v>
      </c>
      <c r="I11" s="69">
        <v>7.0051869287229299E-2</v>
      </c>
      <c r="J11" s="69">
        <v>-0.25330447943118201</v>
      </c>
      <c r="K11" s="69">
        <v>-0.15557104759304799</v>
      </c>
      <c r="L11" s="69">
        <v>-6.1123909806718599E-2</v>
      </c>
      <c r="M11" s="69">
        <v>-5.9782363340122699E-2</v>
      </c>
      <c r="N11" s="69">
        <v>-0.12234312995850399</v>
      </c>
      <c r="O11" s="69">
        <v>7.5366504974470394E-2</v>
      </c>
      <c r="P11" s="69">
        <v>-5.4090304771337402E-2</v>
      </c>
      <c r="Q11" s="69">
        <v>-8.6156508938162901E-2</v>
      </c>
      <c r="R11" s="69">
        <v>-0.16165939184973499</v>
      </c>
      <c r="S11" s="69">
        <v>2.72798140476842E-2</v>
      </c>
      <c r="T11" s="69">
        <v>-0.27190097892752901</v>
      </c>
      <c r="U11" s="69">
        <v>0.40516233278360198</v>
      </c>
      <c r="V11" s="69">
        <v>-0.17199889603673699</v>
      </c>
      <c r="W11" s="69">
        <v>8.0452729446192001E-2</v>
      </c>
      <c r="X11" s="69">
        <v>-2.4988128807495499E-2</v>
      </c>
      <c r="Y11" s="69">
        <v>8.2414965323473893E-2</v>
      </c>
      <c r="Z11" s="69">
        <v>-0.251019616223845</v>
      </c>
      <c r="AA11" s="69">
        <v>-0.17207461950566799</v>
      </c>
      <c r="AB11" s="69">
        <v>-0.231246525545376</v>
      </c>
      <c r="AC11" s="69">
        <v>-3.15016482269471E-2</v>
      </c>
      <c r="AD11" s="69">
        <v>-0.32312318710396498</v>
      </c>
      <c r="AE11" s="69">
        <v>-2.8114041526947402E-2</v>
      </c>
      <c r="AF11" s="69">
        <v>-9.9133847909293096E-2</v>
      </c>
      <c r="AG11" s="69">
        <v>0.28904888062589001</v>
      </c>
      <c r="AH11" s="69">
        <v>-0.108965218463541</v>
      </c>
      <c r="AI11" s="69">
        <v>-0.10335063400930999</v>
      </c>
      <c r="AJ11" s="69">
        <v>-0.22490300731957799</v>
      </c>
      <c r="AK11" s="69">
        <v>-0.12657678830413599</v>
      </c>
      <c r="AL11" s="69">
        <v>-4.1589386445113598E-2</v>
      </c>
      <c r="AM11" s="69">
        <v>7.6378901076172203E-3</v>
      </c>
      <c r="AN11" s="69">
        <v>0.14373448867956501</v>
      </c>
      <c r="AO11" s="69">
        <v>0.123742423641514</v>
      </c>
      <c r="AP11" s="69">
        <v>-0.101342140076943</v>
      </c>
      <c r="AQ11" s="69">
        <v>0.214672732597223</v>
      </c>
      <c r="AR11" s="69">
        <v>-0.45312288278187501</v>
      </c>
      <c r="AS11" s="69">
        <v>5.0802152108112002E-2</v>
      </c>
      <c r="AT11" s="69">
        <v>-0.189679503768172</v>
      </c>
      <c r="AU11" s="69">
        <v>0.197668500693786</v>
      </c>
      <c r="AV11" s="69">
        <v>-0.156322468637378</v>
      </c>
      <c r="AW11" s="69">
        <v>0.19700380593944899</v>
      </c>
      <c r="AX11" s="69">
        <v>-7.0806395794697594E-2</v>
      </c>
      <c r="AY11" s="69">
        <v>-0.47451773522129997</v>
      </c>
      <c r="AZ11" s="69">
        <v>-0.173883058224126</v>
      </c>
      <c r="BA11" s="69">
        <v>-0.44510556891365899</v>
      </c>
      <c r="BB11" s="69">
        <v>-4.2438381788297903E-2</v>
      </c>
      <c r="BC11" s="69">
        <v>0.31846779703070399</v>
      </c>
      <c r="BD11" s="69">
        <v>-0.55710435206405196</v>
      </c>
      <c r="BE11" s="69">
        <v>0.125897469134268</v>
      </c>
      <c r="BF11" s="69">
        <v>-0.37375337942141401</v>
      </c>
      <c r="BG11" s="69">
        <v>0.30322320881815201</v>
      </c>
      <c r="BH11" s="69">
        <v>0.21007273328505399</v>
      </c>
      <c r="BI11" s="69">
        <v>-0.25615889375721401</v>
      </c>
    </row>
    <row r="12" spans="1:61" x14ac:dyDescent="0.25">
      <c r="A12" s="42" t="s">
        <v>43</v>
      </c>
      <c r="B12" s="69">
        <v>-0.10453928166738501</v>
      </c>
      <c r="C12" s="69">
        <v>-7.1703484762893899E-2</v>
      </c>
      <c r="D12" s="69">
        <v>-0.12441020461011799</v>
      </c>
      <c r="E12" s="69">
        <v>0.37893301771313598</v>
      </c>
      <c r="F12" s="69">
        <v>-3.7928196651250398E-2</v>
      </c>
      <c r="G12" s="69">
        <v>-0.18121424663678001</v>
      </c>
      <c r="H12" s="69">
        <v>4.84590212963142E-2</v>
      </c>
      <c r="I12" s="69">
        <v>-2.57124294252941E-2</v>
      </c>
      <c r="J12" s="69">
        <v>-7.1885881200834598E-2</v>
      </c>
      <c r="K12" s="69">
        <v>-7.5723278818466702E-2</v>
      </c>
      <c r="L12" s="69">
        <v>1.6313556428933899E-2</v>
      </c>
      <c r="M12" s="69">
        <v>-0.24094046401685201</v>
      </c>
      <c r="N12" s="69">
        <v>-0.25761128476417799</v>
      </c>
      <c r="O12" s="69">
        <v>0.22024869693975699</v>
      </c>
      <c r="P12" s="69">
        <v>-0.41055632328778602</v>
      </c>
      <c r="Q12" s="69">
        <v>-5.7832547435955298E-2</v>
      </c>
      <c r="R12" s="69">
        <v>-0.24487981938277301</v>
      </c>
      <c r="S12" s="69">
        <v>-1.4008286155261999E-2</v>
      </c>
      <c r="T12" s="69">
        <v>0.11143681845636499</v>
      </c>
      <c r="U12" s="69">
        <v>-0.41264880822359501</v>
      </c>
      <c r="V12" s="69">
        <v>9.2459786203553898E-2</v>
      </c>
      <c r="W12" s="69">
        <v>-6.8499280368927606E-2</v>
      </c>
      <c r="X12" s="69">
        <v>-0.288709382775373</v>
      </c>
      <c r="Y12" s="69">
        <v>-0.38830596083945601</v>
      </c>
      <c r="Z12" s="69">
        <v>6.0628869191105501E-2</v>
      </c>
      <c r="AA12" s="69">
        <v>-8.6843855425772998E-2</v>
      </c>
      <c r="AB12" s="69">
        <v>-2.3217461639556201E-2</v>
      </c>
      <c r="AC12" s="69">
        <v>7.8951552881793105E-2</v>
      </c>
      <c r="AD12" s="69">
        <v>0.233619878265552</v>
      </c>
      <c r="AE12" s="69">
        <v>-7.7640949718756694E-2</v>
      </c>
      <c r="AF12" s="69">
        <v>-0.154710789440131</v>
      </c>
      <c r="AG12" s="69">
        <v>0.18281124307899799</v>
      </c>
      <c r="AH12" s="69">
        <v>-0.211802758357024</v>
      </c>
      <c r="AI12" s="69">
        <v>-0.256787110812354</v>
      </c>
      <c r="AJ12" s="69">
        <v>-0.15015039733794</v>
      </c>
      <c r="AK12" s="69">
        <v>0.35576606880336098</v>
      </c>
      <c r="AL12" s="69">
        <v>-0.20152428565955999</v>
      </c>
      <c r="AM12" s="69">
        <v>1.02983743010831E-2</v>
      </c>
      <c r="AN12" s="69">
        <v>-0.26037613392318698</v>
      </c>
      <c r="AO12" s="69">
        <v>-0.25958590893976802</v>
      </c>
      <c r="AP12" s="69">
        <v>-0.116596969665667</v>
      </c>
      <c r="AQ12" s="69">
        <v>0.17172933017682401</v>
      </c>
      <c r="AR12" s="69">
        <v>-0.139755047727983</v>
      </c>
      <c r="AS12" s="69">
        <v>8.3288857463219096E-2</v>
      </c>
      <c r="AT12" s="69">
        <v>-0.30785893283215499</v>
      </c>
      <c r="AU12" s="69">
        <v>-0.12805200640831599</v>
      </c>
      <c r="AV12" s="69">
        <v>-0.191990938507174</v>
      </c>
      <c r="AW12" s="69">
        <v>-0.12278040692117199</v>
      </c>
      <c r="AX12" s="69">
        <v>0.15081724796485399</v>
      </c>
      <c r="AY12" s="69">
        <v>-7.8263747417796806E-2</v>
      </c>
      <c r="AZ12" s="69">
        <v>-3.0659103941886E-2</v>
      </c>
      <c r="BA12" s="69">
        <v>-1.67177843977343E-2</v>
      </c>
      <c r="BB12" s="69">
        <v>-0.164470750929052</v>
      </c>
      <c r="BC12" s="69">
        <v>-0.30296656632017299</v>
      </c>
      <c r="BD12" s="69">
        <v>-0.116265823884727</v>
      </c>
      <c r="BE12" s="69">
        <v>-3.81743692260572E-2</v>
      </c>
      <c r="BF12" s="69">
        <v>0.11308039871872699</v>
      </c>
      <c r="BG12" s="69">
        <v>-0.103447527565838</v>
      </c>
      <c r="BH12" s="69">
        <v>-0.111431971817758</v>
      </c>
      <c r="BI12" s="69">
        <v>0.21458241604068701</v>
      </c>
    </row>
    <row r="13" spans="1:61" x14ac:dyDescent="0.25">
      <c r="A13" s="42" t="s">
        <v>44</v>
      </c>
      <c r="B13" s="69">
        <v>-0.140582736091143</v>
      </c>
      <c r="C13" s="69">
        <v>1.5120312203144901E-2</v>
      </c>
      <c r="D13" s="69">
        <v>-0.115913107572816</v>
      </c>
      <c r="E13" s="69">
        <v>1.39546382568885E-2</v>
      </c>
      <c r="F13" s="69">
        <v>-0.240884015361118</v>
      </c>
      <c r="G13" s="69">
        <v>-0.107437435617248</v>
      </c>
      <c r="H13" s="69">
        <v>-7.6372902065849596E-2</v>
      </c>
      <c r="I13" s="69">
        <v>9.0969459669857103E-2</v>
      </c>
      <c r="J13" s="69">
        <v>-0.10104409396995399</v>
      </c>
      <c r="K13" s="69">
        <v>-1.2733850109387401E-3</v>
      </c>
      <c r="L13" s="69">
        <v>-9.4313276299441806E-2</v>
      </c>
      <c r="M13" s="69">
        <v>-0.15054950091785599</v>
      </c>
      <c r="N13" s="69">
        <v>4.9576005268414297E-2</v>
      </c>
      <c r="O13" s="69">
        <v>-9.9825505319055305E-2</v>
      </c>
      <c r="P13" s="69">
        <v>0.13526396908083799</v>
      </c>
      <c r="Q13" s="69">
        <v>1.7599279954256499E-2</v>
      </c>
      <c r="R13" s="69">
        <v>-5.9620404486900501E-2</v>
      </c>
      <c r="S13" s="69">
        <v>1.9221351385925501E-2</v>
      </c>
      <c r="T13" s="69">
        <v>-4.5220108568831199E-2</v>
      </c>
      <c r="U13" s="69">
        <v>1.9295735661038201E-2</v>
      </c>
      <c r="V13" s="69">
        <v>-9.3095253833409997E-2</v>
      </c>
      <c r="W13" s="69">
        <v>-0.31774420122930802</v>
      </c>
      <c r="X13" s="69">
        <v>-1.96131508697431E-2</v>
      </c>
      <c r="Y13" s="69">
        <v>4.58063571525303E-2</v>
      </c>
      <c r="Z13" s="69">
        <v>-0.167638473699565</v>
      </c>
      <c r="AA13" s="69">
        <v>-0.18477368154644</v>
      </c>
      <c r="AB13" s="69">
        <v>-9.6855197974828403E-2</v>
      </c>
      <c r="AC13" s="69">
        <v>-0.107094462067544</v>
      </c>
      <c r="AD13" s="69">
        <v>1.44694787742341E-2</v>
      </c>
      <c r="AE13" s="69">
        <v>-2.25597932269722E-2</v>
      </c>
      <c r="AF13" s="69">
        <v>9.4509239092280706E-2</v>
      </c>
      <c r="AG13" s="69">
        <v>0.17495541938191</v>
      </c>
      <c r="AH13" s="69">
        <v>-4.2333086261591497E-2</v>
      </c>
      <c r="AI13" s="69">
        <v>-4.3146431680417797E-2</v>
      </c>
      <c r="AJ13" s="69">
        <v>-7.4679029382567E-3</v>
      </c>
      <c r="AK13" s="69">
        <v>-8.3826189682247795E-2</v>
      </c>
      <c r="AL13" s="69">
        <v>-5.4735981647016603E-2</v>
      </c>
      <c r="AM13" s="69">
        <v>-5.2854778938653202E-2</v>
      </c>
      <c r="AN13" s="69">
        <v>-5.66871303391065E-3</v>
      </c>
      <c r="AO13" s="69">
        <v>-2.1932120834127E-2</v>
      </c>
      <c r="AP13" s="69">
        <v>-7.1495034848989794E-2</v>
      </c>
      <c r="AQ13" s="69">
        <v>-3.23259203759962E-2</v>
      </c>
      <c r="AR13" s="69">
        <v>-6.3045342889904099E-2</v>
      </c>
      <c r="AS13" s="69">
        <v>6.3308434860818802E-2</v>
      </c>
      <c r="AT13" s="69">
        <v>-3.91240877282319E-2</v>
      </c>
      <c r="AU13" s="69">
        <v>-0.121872738089188</v>
      </c>
      <c r="AV13" s="69">
        <v>-7.2823671733262096E-2</v>
      </c>
      <c r="AW13" s="69">
        <v>-0.129754881254661</v>
      </c>
      <c r="AX13" s="69">
        <v>-1.36695211177684E-2</v>
      </c>
      <c r="AY13" s="69">
        <v>7.0029586915615602E-2</v>
      </c>
      <c r="AZ13" s="69">
        <v>4.2169628034787902E-2</v>
      </c>
      <c r="BA13" s="69">
        <v>-1.3816241801573601E-2</v>
      </c>
      <c r="BB13" s="69">
        <v>-5.1839183684696699E-2</v>
      </c>
      <c r="BC13" s="69">
        <v>-2.36706373743628E-3</v>
      </c>
      <c r="BD13" s="69">
        <v>-4.7109042096708298E-2</v>
      </c>
      <c r="BE13" s="69">
        <v>-0.30544048097083698</v>
      </c>
      <c r="BF13" s="69">
        <v>6.588001393303E-3</v>
      </c>
      <c r="BG13" s="69">
        <v>-8.8438110710086795E-2</v>
      </c>
      <c r="BH13" s="69">
        <v>0.124880149267379</v>
      </c>
      <c r="BI13" s="69">
        <v>0.24191804123159899</v>
      </c>
    </row>
    <row r="14" spans="1:61" x14ac:dyDescent="0.25">
      <c r="A14" s="42" t="s">
        <v>45</v>
      </c>
      <c r="B14" s="69">
        <v>-0.13157505579534701</v>
      </c>
      <c r="C14" s="69">
        <v>3.3088649941019198E-2</v>
      </c>
      <c r="D14" s="69">
        <v>-8.8382640282553895E-3</v>
      </c>
      <c r="E14" s="69">
        <v>-6.7133700780026895E-2</v>
      </c>
      <c r="F14" s="69">
        <v>3.5820520271769102E-2</v>
      </c>
      <c r="G14" s="69">
        <v>4.37399426039543E-2</v>
      </c>
      <c r="H14" s="69">
        <v>-2.8387851605802601E-2</v>
      </c>
      <c r="I14" s="69">
        <v>-4.6567703082240001E-2</v>
      </c>
      <c r="J14" s="69">
        <v>-0.11772337078053099</v>
      </c>
      <c r="K14" s="69">
        <v>-7.6233355079571699E-2</v>
      </c>
      <c r="L14" s="69">
        <v>-4.0970588882319602E-2</v>
      </c>
      <c r="M14" s="69">
        <v>-4.2573517738200797E-2</v>
      </c>
      <c r="N14" s="69">
        <v>6.5850580260146702E-2</v>
      </c>
      <c r="O14" s="69">
        <v>-4.3937525600600602E-2</v>
      </c>
      <c r="P14" s="69">
        <v>0.15057483519700299</v>
      </c>
      <c r="Q14" s="69">
        <v>-5.8699174452374298E-2</v>
      </c>
      <c r="R14" s="69">
        <v>0.121799229497704</v>
      </c>
      <c r="S14" s="69">
        <v>-5.4252920249051196E-3</v>
      </c>
      <c r="T14" s="69">
        <v>-0.11769076162511399</v>
      </c>
      <c r="U14" s="69">
        <v>3.19243570472049E-2</v>
      </c>
      <c r="V14" s="69">
        <v>-1.7464541040478499E-2</v>
      </c>
      <c r="W14" s="69">
        <v>-5.2103306520006699E-2</v>
      </c>
      <c r="X14" s="69">
        <v>5.6736373786828401E-2</v>
      </c>
      <c r="Y14" s="69">
        <v>2.62028723401985E-2</v>
      </c>
      <c r="Z14" s="69">
        <v>7.1638269745543298E-2</v>
      </c>
      <c r="AA14" s="69">
        <v>-0.111933117627078</v>
      </c>
      <c r="AB14" s="69">
        <v>-7.0550144384560795E-2</v>
      </c>
      <c r="AC14" s="69">
        <v>-0.111130047041106</v>
      </c>
      <c r="AD14" s="69">
        <v>-0.29187328691138398</v>
      </c>
      <c r="AE14" s="69">
        <v>9.9115240945036598E-3</v>
      </c>
      <c r="AF14" s="69">
        <v>9.16460409659903E-2</v>
      </c>
      <c r="AG14" s="69">
        <v>4.0421463934970099E-2</v>
      </c>
      <c r="AH14" s="69">
        <v>-0.13970307000093901</v>
      </c>
      <c r="AI14" s="69">
        <v>-9.6552228234640394E-2</v>
      </c>
      <c r="AJ14" s="69">
        <v>-0.18099476681763499</v>
      </c>
      <c r="AK14" s="69">
        <v>9.0836972264499105E-2</v>
      </c>
      <c r="AL14" s="69">
        <v>-5.00959706233454E-2</v>
      </c>
      <c r="AM14" s="69">
        <v>-0.107058989160735</v>
      </c>
      <c r="AN14" s="69">
        <v>5.9143331354307903E-2</v>
      </c>
      <c r="AO14" s="69">
        <v>-4.28220820842551E-2</v>
      </c>
      <c r="AP14" s="69">
        <v>-0.15660882100498499</v>
      </c>
      <c r="AQ14" s="69">
        <v>-2.2149492966866101E-2</v>
      </c>
      <c r="AR14" s="69">
        <v>-1.7600647400206199E-2</v>
      </c>
      <c r="AS14" s="69">
        <v>-5.2686919945077798E-3</v>
      </c>
      <c r="AT14" s="69">
        <v>1.6900714550602401E-2</v>
      </c>
      <c r="AU14" s="69">
        <v>-7.6462633992715801E-2</v>
      </c>
      <c r="AV14" s="69">
        <v>3.7322620346739201E-2</v>
      </c>
      <c r="AW14" s="69">
        <v>-0.12817413030949501</v>
      </c>
      <c r="AX14" s="69">
        <v>0.10118881712854</v>
      </c>
      <c r="AY14" s="69">
        <v>-7.3889057930828603E-2</v>
      </c>
      <c r="AZ14" s="69">
        <v>1.9798399399197201E-2</v>
      </c>
      <c r="BA14" s="69">
        <v>3.5217376787906103E-2</v>
      </c>
      <c r="BB14" s="69">
        <v>-4.6918673546040901E-2</v>
      </c>
      <c r="BC14" s="69">
        <v>-0.16405292856842801</v>
      </c>
      <c r="BD14" s="69">
        <v>-5.0552025978186102E-2</v>
      </c>
      <c r="BE14" s="69">
        <v>-7.2317697139204495E-2</v>
      </c>
      <c r="BF14" s="69">
        <v>-5.5132580901102603E-2</v>
      </c>
      <c r="BG14" s="69">
        <v>5.6096291954389699E-2</v>
      </c>
      <c r="BH14" s="69">
        <v>4.1625448450261102E-2</v>
      </c>
      <c r="BI14" s="69">
        <v>1.3941775163467799E-3</v>
      </c>
    </row>
    <row r="15" spans="1:61" x14ac:dyDescent="0.25">
      <c r="A15" s="42" t="s">
        <v>4</v>
      </c>
      <c r="B15" s="69">
        <v>-3.5531094319604599E-2</v>
      </c>
      <c r="C15" s="69">
        <v>0.130665947878703</v>
      </c>
      <c r="D15" s="69">
        <v>-8.1332367571250702E-2</v>
      </c>
      <c r="E15" s="69">
        <v>-8.0365314650151107E-2</v>
      </c>
      <c r="F15" s="69">
        <v>1.70158722902829E-2</v>
      </c>
      <c r="G15" s="69">
        <v>0.13639438535596199</v>
      </c>
      <c r="H15" s="69">
        <v>-1.63595019759455E-2</v>
      </c>
      <c r="I15" s="69">
        <v>-6.2844837413163199E-2</v>
      </c>
      <c r="J15" s="69">
        <v>-2.1569905296841701E-2</v>
      </c>
      <c r="K15" s="69">
        <v>0.127442662380467</v>
      </c>
      <c r="L15" s="69">
        <v>-3.8570400099842798E-2</v>
      </c>
      <c r="M15" s="69">
        <v>-2.53671176861732E-2</v>
      </c>
      <c r="N15" s="69">
        <v>-1.35011291893193E-2</v>
      </c>
      <c r="O15" s="69">
        <v>3.7405828171311002E-2</v>
      </c>
      <c r="P15" s="69">
        <v>3.34296905230278E-2</v>
      </c>
      <c r="Q15" s="69">
        <v>-2.2764933004076698E-2</v>
      </c>
      <c r="R15" s="69">
        <v>-9.6392261214735306E-2</v>
      </c>
      <c r="S15" s="69">
        <v>9.4098853349694603E-2</v>
      </c>
      <c r="T15" s="69">
        <v>-6.24855564967167E-2</v>
      </c>
      <c r="U15" s="69">
        <v>-2.44672484451205E-2</v>
      </c>
      <c r="V15" s="69">
        <v>1.07695642594025E-2</v>
      </c>
      <c r="W15" s="69">
        <v>2.1105433680199199E-2</v>
      </c>
      <c r="X15" s="69">
        <v>-6.1057413943435897E-2</v>
      </c>
      <c r="Y15" s="69">
        <v>1.56113910311125E-2</v>
      </c>
      <c r="Z15" s="69">
        <v>4.4323106704630098E-2</v>
      </c>
      <c r="AA15" s="69">
        <v>2.3740534636357401E-2</v>
      </c>
      <c r="AB15" s="69">
        <v>4.34920677368077E-2</v>
      </c>
      <c r="AC15" s="69">
        <v>-4.4326189798588898E-2</v>
      </c>
      <c r="AD15" s="69">
        <v>-6.4327765730490599E-3</v>
      </c>
      <c r="AE15" s="69">
        <v>5.4825524747948003E-2</v>
      </c>
      <c r="AF15" s="69">
        <v>2.5901477330592199E-2</v>
      </c>
      <c r="AG15" s="69">
        <v>1.9901658755226901E-2</v>
      </c>
      <c r="AH15" s="69">
        <v>5.3332970522265898E-2</v>
      </c>
      <c r="AI15" s="69">
        <v>-2.2477004064808299E-2</v>
      </c>
      <c r="AJ15" s="69">
        <v>3.1305099210029497E-2</v>
      </c>
      <c r="AK15" s="69">
        <v>-4.0941797535725501E-2</v>
      </c>
      <c r="AL15" s="69">
        <v>-1.3175810423029099E-2</v>
      </c>
      <c r="AM15" s="69">
        <v>7.72876430128121E-3</v>
      </c>
      <c r="AN15" s="69">
        <v>2.8422277475659601E-2</v>
      </c>
      <c r="AO15" s="69">
        <v>-0.133007983873034</v>
      </c>
      <c r="AP15" s="69">
        <v>5.6826627086527401E-2</v>
      </c>
      <c r="AQ15" s="69">
        <v>2.1088638796462399E-2</v>
      </c>
      <c r="AR15" s="69">
        <v>6.7504129857872394E-2</v>
      </c>
      <c r="AS15" s="69">
        <v>5.5187844254286203E-2</v>
      </c>
      <c r="AT15" s="69">
        <v>3.2352305488132303E-2</v>
      </c>
      <c r="AU15" s="69">
        <v>8.78179051034827E-3</v>
      </c>
      <c r="AV15" s="69">
        <v>3.2677889335935698E-2</v>
      </c>
      <c r="AW15" s="69">
        <v>-3.27451518846845E-3</v>
      </c>
      <c r="AX15" s="69">
        <v>3.2276108633360799E-2</v>
      </c>
      <c r="AY15" s="69">
        <v>1.8214701833712099E-2</v>
      </c>
      <c r="AZ15" s="69">
        <v>4.2172078406815298E-2</v>
      </c>
      <c r="BA15" s="69">
        <v>-3.3823943283245901E-2</v>
      </c>
      <c r="BB15" s="69">
        <v>-1.9571645153853699E-2</v>
      </c>
      <c r="BC15" s="69">
        <v>2.0247032203529702E-2</v>
      </c>
      <c r="BD15" s="69">
        <v>-5.5342934765938802E-2</v>
      </c>
      <c r="BE15" s="69">
        <v>-1.9165020400445699E-2</v>
      </c>
      <c r="BF15" s="69">
        <v>1.47010124125567E-2</v>
      </c>
      <c r="BG15" s="69">
        <v>8.96530334036265E-2</v>
      </c>
      <c r="BH15" s="69">
        <v>4.07016085535431E-2</v>
      </c>
      <c r="BI15" s="69">
        <v>-6.6001219798748206E-2</v>
      </c>
    </row>
    <row r="16" spans="1:61" x14ac:dyDescent="0.25">
      <c r="A16" s="42" t="s">
        <v>5</v>
      </c>
      <c r="B16" s="69">
        <v>-0.14699007042725501</v>
      </c>
      <c r="C16" s="69">
        <v>-7.1670824344889597E-2</v>
      </c>
      <c r="D16" s="69">
        <v>-7.40599977822088E-2</v>
      </c>
      <c r="E16" s="69">
        <v>-3.8615888802605497E-2</v>
      </c>
      <c r="F16" s="69">
        <v>5.4441438800319798E-2</v>
      </c>
      <c r="G16" s="69">
        <v>0.112870973931455</v>
      </c>
      <c r="H16" s="69">
        <v>3.1796747623647002E-2</v>
      </c>
      <c r="I16" s="69">
        <v>5.3947256045446701E-2</v>
      </c>
      <c r="J16" s="69">
        <v>-0.149892557381548</v>
      </c>
      <c r="K16" s="69">
        <v>6.6819746272178807E-2</v>
      </c>
      <c r="L16" s="69">
        <v>9.7323784526655896E-2</v>
      </c>
      <c r="M16" s="69">
        <v>-5.2223978958088002E-2</v>
      </c>
      <c r="N16" s="69">
        <v>-2.42764464933003E-2</v>
      </c>
      <c r="O16" s="69">
        <v>1.01411138666278E-3</v>
      </c>
      <c r="P16" s="69">
        <v>-2.1730894796699301E-2</v>
      </c>
      <c r="Q16" s="69">
        <v>4.6953161048559101E-2</v>
      </c>
      <c r="R16" s="69">
        <v>-3.4492644400720099E-2</v>
      </c>
      <c r="S16" s="69">
        <v>-1.9511092133742299E-2</v>
      </c>
      <c r="T16" s="69">
        <v>-4.4867826712067203E-2</v>
      </c>
      <c r="U16" s="69">
        <v>9.0272452731692904E-2</v>
      </c>
      <c r="V16" s="69">
        <v>-9.0005584819837101E-2</v>
      </c>
      <c r="W16" s="69">
        <v>0.100207463277686</v>
      </c>
      <c r="X16" s="69">
        <v>4.2853055859698001E-2</v>
      </c>
      <c r="Y16" s="69">
        <v>1.40765216006067E-2</v>
      </c>
      <c r="Z16" s="69">
        <v>3.8131942912217498E-2</v>
      </c>
      <c r="AA16" s="69">
        <v>0.242993046246085</v>
      </c>
      <c r="AB16" s="69">
        <v>6.2457751524013803E-2</v>
      </c>
      <c r="AC16" s="69">
        <v>0.13935782744698999</v>
      </c>
      <c r="AD16" s="69">
        <v>8.0173863657488603E-2</v>
      </c>
      <c r="AE16" s="69">
        <v>7.6345028001602901E-3</v>
      </c>
      <c r="AF16" s="69">
        <v>-0.107005452665782</v>
      </c>
      <c r="AG16" s="69">
        <v>0.128032679433465</v>
      </c>
      <c r="AH16" s="69">
        <v>4.6918109707331998E-2</v>
      </c>
      <c r="AI16" s="69">
        <v>6.1060419427099499E-2</v>
      </c>
      <c r="AJ16" s="69">
        <v>5.94270599753456E-2</v>
      </c>
      <c r="AK16" s="69">
        <v>6.4809757117833102E-4</v>
      </c>
      <c r="AL16" s="69">
        <v>-8.0910228450510307E-3</v>
      </c>
      <c r="AM16" s="69">
        <v>-4.2336737716739299E-2</v>
      </c>
      <c r="AN16" s="69">
        <v>-0.19566067149817301</v>
      </c>
      <c r="AO16" s="69">
        <v>-0.122584744028314</v>
      </c>
      <c r="AP16" s="69">
        <v>0.17828734100225399</v>
      </c>
      <c r="AQ16" s="69">
        <v>-0.19265981097881801</v>
      </c>
      <c r="AR16" s="69">
        <v>5.5385486084583102E-2</v>
      </c>
      <c r="AS16" s="69">
        <v>7.0934407815137102E-2</v>
      </c>
      <c r="AT16" s="69">
        <v>-7.3959133347042599E-2</v>
      </c>
      <c r="AU16" s="69">
        <v>0.112080196339659</v>
      </c>
      <c r="AV16" s="69">
        <v>-2.6139761261843399E-2</v>
      </c>
      <c r="AW16" s="69">
        <v>2.42963007325755E-2</v>
      </c>
      <c r="AX16" s="69">
        <v>0.14535892974315501</v>
      </c>
      <c r="AY16" s="69">
        <v>-1.8924921331769901E-2</v>
      </c>
      <c r="AZ16" s="69">
        <v>7.8348947498392101E-3</v>
      </c>
      <c r="BA16" s="69">
        <v>0.13679616350760801</v>
      </c>
      <c r="BB16" s="69">
        <v>1.3634616464513799E-2</v>
      </c>
      <c r="BC16" s="69">
        <v>-1.7874537460385101E-2</v>
      </c>
      <c r="BD16" s="69">
        <v>0.12272063216350999</v>
      </c>
      <c r="BE16" s="69">
        <v>-1.8441383581276501E-2</v>
      </c>
      <c r="BF16" s="69">
        <v>0.14561026458274101</v>
      </c>
      <c r="BG16" s="69">
        <v>-6.6568452512371402E-3</v>
      </c>
      <c r="BH16" s="69">
        <v>7.2439364948808802E-2</v>
      </c>
      <c r="BI16" s="69">
        <v>-0.22086064160899199</v>
      </c>
    </row>
    <row r="17" spans="1:61" x14ac:dyDescent="0.25">
      <c r="A17" s="42" t="s">
        <v>6</v>
      </c>
      <c r="B17" s="69">
        <v>-0.14208827122648901</v>
      </c>
      <c r="C17" s="69">
        <v>0.46953964440559898</v>
      </c>
      <c r="D17" s="69">
        <v>0.15138108037181899</v>
      </c>
      <c r="E17" s="69">
        <v>0.190932137876858</v>
      </c>
      <c r="F17" s="69">
        <v>7.6261795153087397E-2</v>
      </c>
      <c r="G17" s="69">
        <v>3.8238695554452501E-2</v>
      </c>
      <c r="H17" s="69">
        <v>-0.30792925529139198</v>
      </c>
      <c r="I17" s="69">
        <v>5.5770879075563301E-2</v>
      </c>
      <c r="J17" s="69">
        <v>-2.50706214721594E-2</v>
      </c>
      <c r="K17" s="69">
        <v>0.21935812842803101</v>
      </c>
      <c r="L17" s="69">
        <v>-1.27782655407643E-2</v>
      </c>
      <c r="M17" s="69">
        <v>0.22147115278955501</v>
      </c>
      <c r="N17" s="69">
        <v>0.136017500210103</v>
      </c>
      <c r="O17" s="69">
        <v>0.135759839859976</v>
      </c>
      <c r="P17" s="69">
        <v>-5.5301433972760598E-2</v>
      </c>
      <c r="Q17" s="69">
        <v>-0.20679148648516801</v>
      </c>
      <c r="R17" s="69">
        <v>9.7964309180276196E-2</v>
      </c>
      <c r="S17" s="69">
        <v>9.9313912080757905E-2</v>
      </c>
      <c r="T17" s="69">
        <v>-0.15840563706076199</v>
      </c>
      <c r="U17" s="69">
        <v>2.9524259789020301E-2</v>
      </c>
      <c r="V17" s="69">
        <v>-4.2013788387676998E-3</v>
      </c>
      <c r="W17" s="69">
        <v>4.69785038380576E-2</v>
      </c>
      <c r="X17" s="69">
        <v>-4.9912530374628603E-2</v>
      </c>
      <c r="Y17" s="69">
        <v>5.4566360300062995E-4</v>
      </c>
      <c r="Z17" s="69">
        <v>-0.11535182628983399</v>
      </c>
      <c r="AA17" s="69">
        <v>0.17256566903020101</v>
      </c>
      <c r="AB17" s="69">
        <v>-2.2197748856597199E-2</v>
      </c>
      <c r="AC17" s="69">
        <v>-4.5733966433232499E-2</v>
      </c>
      <c r="AD17" s="69">
        <v>0.12825435486315601</v>
      </c>
      <c r="AE17" s="69">
        <v>2.63038074361173E-2</v>
      </c>
      <c r="AF17" s="69">
        <v>-1.8983297418017499E-2</v>
      </c>
      <c r="AG17" s="69">
        <v>0.21438702211819</v>
      </c>
      <c r="AH17" s="69">
        <v>0.16817443610601099</v>
      </c>
      <c r="AI17" s="69">
        <v>-0.115410420768356</v>
      </c>
      <c r="AJ17" s="69">
        <v>-3.4731614521782202E-2</v>
      </c>
      <c r="AK17" s="69">
        <v>0.167658877085023</v>
      </c>
      <c r="AL17" s="69">
        <v>-0.17545981925309101</v>
      </c>
      <c r="AM17" s="69">
        <v>-0.10555410120086101</v>
      </c>
      <c r="AN17" s="69">
        <v>-0.112207172858004</v>
      </c>
      <c r="AO17" s="69">
        <v>-0.10807670944573899</v>
      </c>
      <c r="AP17" s="69">
        <v>-0.12702772389654299</v>
      </c>
      <c r="AQ17" s="69">
        <v>2.1568374664248099E-2</v>
      </c>
      <c r="AR17" s="69">
        <v>0.227042020279312</v>
      </c>
      <c r="AS17" s="69">
        <v>-9.5207480287711102E-2</v>
      </c>
      <c r="AT17" s="69">
        <v>-9.3098933688726196E-2</v>
      </c>
      <c r="AU17" s="69">
        <v>0.18232059238422299</v>
      </c>
      <c r="AV17" s="69">
        <v>-0.221810494843209</v>
      </c>
      <c r="AW17" s="69">
        <v>-9.6054983739967403E-2</v>
      </c>
      <c r="AX17" s="69">
        <v>0.14834329367480301</v>
      </c>
      <c r="AY17" s="69">
        <v>0.11911831873788099</v>
      </c>
      <c r="AZ17" s="69">
        <v>0.18092745305081601</v>
      </c>
      <c r="BA17" s="69">
        <v>6.2452354381689397E-2</v>
      </c>
      <c r="BB17" s="69">
        <v>0.23710495885982799</v>
      </c>
      <c r="BC17" s="69">
        <v>1.17629006951433E-2</v>
      </c>
      <c r="BD17" s="69">
        <v>2.5927403679790999E-2</v>
      </c>
      <c r="BE17" s="69">
        <v>-6.5031511974764696E-3</v>
      </c>
      <c r="BF17" s="69">
        <v>8.2515769604725703E-2</v>
      </c>
      <c r="BG17" s="69">
        <v>-0.22168274845027</v>
      </c>
      <c r="BH17" s="69">
        <v>2.0539708533938002E-2</v>
      </c>
      <c r="BI17" s="69">
        <v>-8.1184859694959102E-2</v>
      </c>
    </row>
    <row r="18" spans="1:61" x14ac:dyDescent="0.25">
      <c r="A18" s="42" t="s">
        <v>7</v>
      </c>
      <c r="B18" s="69">
        <v>0.107330220311125</v>
      </c>
      <c r="C18" s="69">
        <v>0.19886216836944601</v>
      </c>
      <c r="D18" s="69">
        <v>-1.3144244917001099E-2</v>
      </c>
      <c r="E18" s="69">
        <v>0.15729610661473001</v>
      </c>
      <c r="F18" s="69">
        <v>9.0088938092899196E-2</v>
      </c>
      <c r="G18" s="69">
        <v>0.249307195016715</v>
      </c>
      <c r="H18" s="69">
        <v>-3.9807834897236598E-2</v>
      </c>
      <c r="I18" s="69">
        <v>-0.235499664878419</v>
      </c>
      <c r="J18" s="69">
        <v>0.171124142848227</v>
      </c>
      <c r="K18" s="69">
        <v>2.8268409173569001E-2</v>
      </c>
      <c r="L18" s="69">
        <v>0.16869065307304701</v>
      </c>
      <c r="M18" s="69">
        <v>5.4586973737805002E-2</v>
      </c>
      <c r="N18" s="69">
        <v>0.23038009448020599</v>
      </c>
      <c r="O18" s="69">
        <v>-4.8981326341992301E-2</v>
      </c>
      <c r="P18" s="69">
        <v>0.102676291129892</v>
      </c>
      <c r="Q18" s="69">
        <v>0.15775602493202301</v>
      </c>
      <c r="R18" s="69">
        <v>-4.79537734640407E-2</v>
      </c>
      <c r="S18" s="69">
        <v>0.20573819505084701</v>
      </c>
      <c r="T18" s="69">
        <v>0.24783000920717399</v>
      </c>
      <c r="U18" s="69">
        <v>-0.34888829761811502</v>
      </c>
      <c r="V18" s="69">
        <v>-5.9164046996746503E-2</v>
      </c>
      <c r="W18" s="69">
        <v>6.4836389867369906E-2</v>
      </c>
      <c r="X18" s="69">
        <v>0.35197364564856498</v>
      </c>
      <c r="Y18" s="69">
        <v>-0.131810126115635</v>
      </c>
      <c r="Z18" s="69">
        <v>0.24466184174342601</v>
      </c>
      <c r="AA18" s="69">
        <v>0.282000442222618</v>
      </c>
      <c r="AB18" s="69">
        <v>-0.108004983589569</v>
      </c>
      <c r="AC18" s="69">
        <v>2.1338955200538301E-2</v>
      </c>
      <c r="AD18" s="69">
        <v>3.5842433399381701E-2</v>
      </c>
      <c r="AE18" s="69">
        <v>0.127322203174115</v>
      </c>
      <c r="AF18" s="69">
        <v>-0.26970469386007101</v>
      </c>
      <c r="AG18" s="69">
        <v>-0.50453297486384296</v>
      </c>
      <c r="AH18" s="69">
        <v>0.220153921567977</v>
      </c>
      <c r="AI18" s="69">
        <v>6.6315737115797496E-2</v>
      </c>
      <c r="AJ18" s="69">
        <v>1.6045647732529499E-2</v>
      </c>
      <c r="AK18" s="69">
        <v>0.118547003951965</v>
      </c>
      <c r="AL18" s="69">
        <v>8.5390389129628097E-2</v>
      </c>
      <c r="AM18" s="69">
        <v>0.219878834702945</v>
      </c>
      <c r="AN18" s="69">
        <v>-0.31704332626926301</v>
      </c>
      <c r="AO18" s="69">
        <v>-0.244904988570361</v>
      </c>
      <c r="AP18" s="69">
        <v>0.34765817129321702</v>
      </c>
      <c r="AQ18" s="69">
        <v>-0.22432434495546999</v>
      </c>
      <c r="AR18" s="69">
        <v>-0.23532278266710199</v>
      </c>
      <c r="AS18" s="69">
        <v>5.5472074298143097E-2</v>
      </c>
      <c r="AT18" s="69">
        <v>7.1186751785738606E-2</v>
      </c>
      <c r="AU18" s="69">
        <v>-0.188594984142163</v>
      </c>
      <c r="AV18" s="69">
        <v>-1.12987990974769E-2</v>
      </c>
      <c r="AW18" s="69">
        <v>0.15806399226218601</v>
      </c>
      <c r="AX18" s="69">
        <v>-4.3176800406951002E-2</v>
      </c>
      <c r="AY18" s="69">
        <v>4.82326788335549E-2</v>
      </c>
      <c r="AZ18" s="69">
        <v>0.28677045295382297</v>
      </c>
      <c r="BA18" s="69">
        <v>-7.05161505825532E-2</v>
      </c>
      <c r="BB18" s="69">
        <v>0.15404309361736701</v>
      </c>
      <c r="BC18" s="69">
        <v>-0.23047184295605</v>
      </c>
      <c r="BD18" s="69">
        <v>-2.95437774440225E-2</v>
      </c>
      <c r="BE18" s="69">
        <v>0.41083991971045802</v>
      </c>
      <c r="BF18" s="69">
        <v>0.132033804118388</v>
      </c>
      <c r="BG18" s="69">
        <v>0.231454473733303</v>
      </c>
      <c r="BH18" s="69">
        <v>0.291394105276573</v>
      </c>
      <c r="BI18" s="69">
        <v>4.1987673235517803E-2</v>
      </c>
    </row>
    <row r="19" spans="1:61" x14ac:dyDescent="0.25">
      <c r="A19" s="42" t="s">
        <v>8</v>
      </c>
      <c r="B19" s="69">
        <v>8.8715145998111505E-2</v>
      </c>
      <c r="C19" s="69">
        <v>0.31517852088249798</v>
      </c>
      <c r="D19" s="69">
        <v>0.13022420264156301</v>
      </c>
      <c r="E19" s="69">
        <v>-0.13820762660370101</v>
      </c>
      <c r="F19" s="69">
        <v>-2.32686988443771E-2</v>
      </c>
      <c r="G19" s="69">
        <v>0.16067982122362601</v>
      </c>
      <c r="H19" s="69">
        <v>4.9030824274035503E-2</v>
      </c>
      <c r="I19" s="69">
        <v>-5.6599787572666399E-2</v>
      </c>
      <c r="J19" s="69">
        <v>9.1823817735722402E-2</v>
      </c>
      <c r="K19" s="69">
        <v>2.8213743061209301E-2</v>
      </c>
      <c r="L19" s="69">
        <v>0.33960652834091898</v>
      </c>
      <c r="M19" s="69">
        <v>4.2551351695506397E-2</v>
      </c>
      <c r="N19" s="69">
        <v>0.33965861166862998</v>
      </c>
      <c r="O19" s="69">
        <v>-0.14725503458040801</v>
      </c>
      <c r="P19" s="69">
        <v>-2.3779942148986301E-2</v>
      </c>
      <c r="Q19" s="69">
        <v>-0.27933373722955301</v>
      </c>
      <c r="R19" s="69">
        <v>8.8412190163391205E-2</v>
      </c>
      <c r="S19" s="69">
        <v>-3.7840131573765999E-2</v>
      </c>
      <c r="T19" s="69">
        <v>-0.457046032100349</v>
      </c>
      <c r="U19" s="69">
        <v>-6.6323550234679493E-2</v>
      </c>
      <c r="V19" s="69">
        <v>-0.22372036555643399</v>
      </c>
      <c r="W19" s="69">
        <v>0.14632970997239</v>
      </c>
      <c r="X19" s="69">
        <v>8.0230220777104001E-3</v>
      </c>
      <c r="Y19" s="69">
        <v>-0.325584150881503</v>
      </c>
      <c r="Z19" s="69">
        <v>0.130992410895483</v>
      </c>
      <c r="AA19" s="69">
        <v>3.8187307459202099E-3</v>
      </c>
      <c r="AB19" s="69">
        <v>0.59087306906666104</v>
      </c>
      <c r="AC19" s="69">
        <v>0.204339150062221</v>
      </c>
      <c r="AD19" s="69">
        <v>-4.1002161327778799E-2</v>
      </c>
      <c r="AE19" s="69">
        <v>0.16539193043540101</v>
      </c>
      <c r="AF19" s="69">
        <v>7.04965267568438E-2</v>
      </c>
      <c r="AG19" s="69">
        <v>0.17258900514544001</v>
      </c>
      <c r="AH19" s="69">
        <v>0.54942900241202497</v>
      </c>
      <c r="AI19" s="69">
        <v>-4.3092517235407697E-2</v>
      </c>
      <c r="AJ19" s="69">
        <v>0.205865652356998</v>
      </c>
      <c r="AK19" s="69">
        <v>0.34758896077510498</v>
      </c>
      <c r="AL19" s="69">
        <v>-0.111471942382406</v>
      </c>
      <c r="AM19" s="69">
        <v>-0.20884640189626899</v>
      </c>
      <c r="AN19" s="69">
        <v>1.95773586883605E-2</v>
      </c>
      <c r="AO19" s="69">
        <v>9.7111516226921699E-2</v>
      </c>
      <c r="AP19" s="69">
        <v>0.150958015927181</v>
      </c>
      <c r="AQ19" s="69">
        <v>0.198888883172917</v>
      </c>
      <c r="AR19" s="69">
        <v>-0.116186816214067</v>
      </c>
      <c r="AS19" s="69">
        <v>0.442621660913528</v>
      </c>
      <c r="AT19" s="69">
        <v>0.41354613455963801</v>
      </c>
      <c r="AU19" s="69">
        <v>-0.13786378765026999</v>
      </c>
      <c r="AV19" s="69">
        <v>0.15759655814465401</v>
      </c>
      <c r="AW19" s="69">
        <v>0.17211820521797599</v>
      </c>
      <c r="AX19" s="69">
        <v>-0.104379168908418</v>
      </c>
      <c r="AY19" s="69">
        <v>0.23979270195243199</v>
      </c>
      <c r="AZ19" s="69">
        <v>9.3499216752813502E-2</v>
      </c>
      <c r="BA19" s="69">
        <v>0.56268059885632404</v>
      </c>
      <c r="BB19" s="69">
        <v>-0.19299537602407901</v>
      </c>
      <c r="BC19" s="69">
        <v>-0.14672381857781799</v>
      </c>
      <c r="BD19" s="69">
        <v>0.39254792776567399</v>
      </c>
      <c r="BE19" s="69">
        <v>3.1539637268013399E-2</v>
      </c>
      <c r="BF19" s="69">
        <v>0.21966550864685699</v>
      </c>
      <c r="BG19" s="69">
        <v>-0.16366658832193801</v>
      </c>
      <c r="BH19" s="69">
        <v>0.30712357982567701</v>
      </c>
      <c r="BI19" s="69">
        <v>0.16908449812972901</v>
      </c>
    </row>
    <row r="20" spans="1:61" x14ac:dyDescent="0.25">
      <c r="A20" s="42" t="s">
        <v>9</v>
      </c>
      <c r="B20" s="69">
        <v>0.29401408151053399</v>
      </c>
      <c r="C20" s="69">
        <v>-8.0697179486853093E-2</v>
      </c>
      <c r="D20" s="69">
        <v>0.22726885261104399</v>
      </c>
      <c r="E20" s="69">
        <v>0.13865374365959901</v>
      </c>
      <c r="F20" s="69">
        <v>0.17731180983628</v>
      </c>
      <c r="G20" s="69">
        <v>0.17912842325805201</v>
      </c>
      <c r="H20" s="69">
        <v>0.27691997399065899</v>
      </c>
      <c r="I20" s="69">
        <v>-1.56088314462346E-2</v>
      </c>
      <c r="J20" s="69">
        <v>0.524575686764154</v>
      </c>
      <c r="K20" s="69">
        <v>-0.115496390343221</v>
      </c>
      <c r="L20" s="69">
        <v>-0.162957410912515</v>
      </c>
      <c r="M20" s="69">
        <v>0.232879654715276</v>
      </c>
      <c r="N20" s="69">
        <v>0.119320998363773</v>
      </c>
      <c r="O20" s="69">
        <v>-0.15621027194843101</v>
      </c>
      <c r="P20" s="69">
        <v>0.13603982225720701</v>
      </c>
      <c r="Q20" s="69">
        <v>4.4775942458954901E-2</v>
      </c>
      <c r="R20" s="69">
        <v>-0.14433287388065899</v>
      </c>
      <c r="S20" s="69">
        <v>0.183820057755817</v>
      </c>
      <c r="T20" s="69">
        <v>0.49684165542101699</v>
      </c>
      <c r="U20" s="69">
        <v>0.41745646849889101</v>
      </c>
      <c r="V20" s="69">
        <v>0.82183325257170803</v>
      </c>
      <c r="W20" s="69">
        <v>0.27080972854244501</v>
      </c>
      <c r="X20" s="69">
        <v>-6.9244021878696896E-2</v>
      </c>
      <c r="Y20" s="69">
        <v>5.9032391688442799E-2</v>
      </c>
      <c r="Z20" s="69">
        <v>0.27740290313489002</v>
      </c>
      <c r="AA20" s="69">
        <v>-0.163417284628354</v>
      </c>
      <c r="AB20" s="69">
        <v>-0.13905712550698199</v>
      </c>
      <c r="AC20" s="69">
        <v>-0.136296843553942</v>
      </c>
      <c r="AD20" s="69">
        <v>0.156197111836336</v>
      </c>
      <c r="AE20" s="69">
        <v>0.18986379359490599</v>
      </c>
      <c r="AF20" s="69">
        <v>-6.5927606170079506E-2</v>
      </c>
      <c r="AG20" s="69">
        <v>6.8372954909849598E-2</v>
      </c>
      <c r="AH20" s="69">
        <v>0.51059356082711305</v>
      </c>
      <c r="AI20" s="69">
        <v>-2.67746203779704E-2</v>
      </c>
      <c r="AJ20" s="69">
        <v>-2.9621761084630702E-2</v>
      </c>
      <c r="AK20" s="69">
        <v>0.43591325115255503</v>
      </c>
      <c r="AL20" s="69">
        <v>0.121871753993417</v>
      </c>
      <c r="AM20" s="69">
        <v>0.234418184246384</v>
      </c>
      <c r="AN20" s="69">
        <v>0.47304659404690902</v>
      </c>
      <c r="AO20" s="69">
        <v>0.31919817176373499</v>
      </c>
      <c r="AP20" s="69">
        <v>0.22397130947646299</v>
      </c>
      <c r="AQ20" s="69">
        <v>3.8161520020246101E-2</v>
      </c>
      <c r="AR20" s="69">
        <v>-8.2194402168859704E-2</v>
      </c>
      <c r="AS20" s="69">
        <v>0.31854839075882002</v>
      </c>
      <c r="AT20" s="69">
        <v>-9.0150759914556094E-2</v>
      </c>
      <c r="AU20" s="69">
        <v>0.20072988476676401</v>
      </c>
      <c r="AV20" s="69">
        <v>-3.2935495183327099E-2</v>
      </c>
      <c r="AW20" s="69">
        <v>0.100002983371107</v>
      </c>
      <c r="AX20" s="69">
        <v>0.30454459537374101</v>
      </c>
      <c r="AY20" s="69">
        <v>0.16727980253629299</v>
      </c>
      <c r="AZ20" s="69">
        <v>2.9997145533223802E-3</v>
      </c>
      <c r="BA20" s="69">
        <v>1.8810372586356702E-2</v>
      </c>
      <c r="BB20" s="69">
        <v>0.52000218226257</v>
      </c>
      <c r="BC20" s="69">
        <v>-0.62018388960165705</v>
      </c>
      <c r="BD20" s="69">
        <v>0.255534527766407</v>
      </c>
      <c r="BE20" s="69">
        <v>-0.45088808305040201</v>
      </c>
      <c r="BF20" s="69">
        <v>3.1827057417312503E-2</v>
      </c>
      <c r="BG20" s="69">
        <v>-0.13052988476230901</v>
      </c>
      <c r="BH20" s="69">
        <v>2.3429332564114301E-2</v>
      </c>
      <c r="BI20" s="69">
        <v>0.73413980999522499</v>
      </c>
    </row>
  </sheetData>
  <mergeCells count="4">
    <mergeCell ref="G8:H8"/>
    <mergeCell ref="E8:F8"/>
    <mergeCell ref="J7:K7"/>
    <mergeCell ref="J8:K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9:M20"/>
  <sheetViews>
    <sheetView workbookViewId="0"/>
  </sheetViews>
  <sheetFormatPr defaultRowHeight="15" x14ac:dyDescent="0.25"/>
  <cols>
    <col min="1" max="1" width="17.5703125" style="70" bestFit="1" customWidth="1"/>
    <col min="2" max="2" width="7.28515625" style="70" bestFit="1" customWidth="1"/>
    <col min="3" max="3" width="10.42578125" style="70" bestFit="1" customWidth="1"/>
    <col min="4" max="4" width="18.140625" style="70" bestFit="1" customWidth="1"/>
    <col min="5" max="5" width="14.85546875" style="70" bestFit="1" customWidth="1"/>
    <col min="6" max="6" width="8.5703125" style="70" bestFit="1" customWidth="1"/>
    <col min="7" max="9" width="12.28515625" style="70" bestFit="1" customWidth="1"/>
    <col min="10" max="10" width="9.7109375" style="70" bestFit="1" customWidth="1"/>
    <col min="11" max="11" width="14.42578125" style="70" bestFit="1" customWidth="1"/>
    <col min="12" max="12" width="12.42578125" style="70" bestFit="1" customWidth="1"/>
    <col min="13" max="16384" width="9.140625" style="70"/>
  </cols>
  <sheetData>
    <row r="9" spans="1:13" x14ac:dyDescent="0.25">
      <c r="A9" s="48"/>
      <c r="B9" s="48"/>
      <c r="C9" s="48"/>
      <c r="D9" s="48"/>
      <c r="E9" s="47"/>
      <c r="F9" s="47"/>
      <c r="G9" s="47"/>
      <c r="H9" s="47"/>
      <c r="I9" s="47"/>
      <c r="J9" s="47"/>
      <c r="K9" s="47"/>
      <c r="L9" s="47">
        <f>CHIINV(0.05,2)</f>
        <v>5.9914645471079817</v>
      </c>
    </row>
    <row r="10" spans="1:13" x14ac:dyDescent="0.25">
      <c r="A10" s="52" t="s">
        <v>0</v>
      </c>
      <c r="B10" s="56" t="s">
        <v>14</v>
      </c>
      <c r="C10" s="56" t="s">
        <v>15</v>
      </c>
      <c r="D10" s="56" t="s">
        <v>16</v>
      </c>
      <c r="E10" s="56" t="s">
        <v>17</v>
      </c>
      <c r="F10" s="56" t="s">
        <v>18</v>
      </c>
      <c r="G10" s="56" t="s">
        <v>19</v>
      </c>
      <c r="H10" s="56" t="s">
        <v>20</v>
      </c>
      <c r="I10" s="56" t="s">
        <v>21</v>
      </c>
      <c r="J10" s="56" t="s">
        <v>22</v>
      </c>
      <c r="K10" s="56" t="s">
        <v>23</v>
      </c>
      <c r="L10" s="56" t="s">
        <v>24</v>
      </c>
      <c r="M10" s="45"/>
    </row>
    <row r="11" spans="1:13" x14ac:dyDescent="0.25">
      <c r="A11" s="53" t="s">
        <v>42</v>
      </c>
      <c r="B11" s="49">
        <v>-6.7248977720737457E-2</v>
      </c>
      <c r="C11" s="49">
        <v>4.0254787844348633E-2</v>
      </c>
      <c r="D11" s="49">
        <v>0.20063595850282828</v>
      </c>
      <c r="E11" s="49">
        <v>1.9877641735161315E-2</v>
      </c>
      <c r="F11" s="49">
        <v>0.14098809075649374</v>
      </c>
      <c r="G11" s="49">
        <v>-533998.01323174429</v>
      </c>
      <c r="H11" s="49">
        <v>-397265.76177073608</v>
      </c>
      <c r="I11" s="49">
        <v>-324374.30453594809</v>
      </c>
      <c r="J11" s="49">
        <v>-1.4314328527563263E-2</v>
      </c>
      <c r="K11" s="49">
        <v>-1.4552685225788675E-2</v>
      </c>
      <c r="L11" s="49">
        <v>2.5784516301523347E-3</v>
      </c>
    </row>
    <row r="12" spans="1:13" x14ac:dyDescent="0.25">
      <c r="A12" s="54" t="s">
        <v>43</v>
      </c>
      <c r="B12" s="50">
        <v>-7.0095911622047424E-2</v>
      </c>
      <c r="C12" s="50">
        <v>3.0748020824578542E-2</v>
      </c>
      <c r="D12" s="50">
        <v>0.17535113579494871</v>
      </c>
      <c r="E12" s="50">
        <v>1.363806886742735E-2</v>
      </c>
      <c r="F12" s="50">
        <v>0.11678214275918793</v>
      </c>
      <c r="G12" s="50">
        <v>-478023.6535821117</v>
      </c>
      <c r="H12" s="50">
        <v>-358522.86333293834</v>
      </c>
      <c r="I12" s="50">
        <v>-294817.43429994263</v>
      </c>
      <c r="J12" s="50">
        <v>0.36628706096898317</v>
      </c>
      <c r="K12" s="50">
        <v>-5.5923652052579875E-2</v>
      </c>
      <c r="L12" s="50">
        <v>1.3494807474802011</v>
      </c>
    </row>
    <row r="13" spans="1:13" x14ac:dyDescent="0.25">
      <c r="A13" s="54" t="s">
        <v>44</v>
      </c>
      <c r="B13" s="50">
        <v>-3.9464365690946579E-2</v>
      </c>
      <c r="C13" s="50">
        <v>1.009171707675691E-2</v>
      </c>
      <c r="D13" s="50">
        <v>0.10045753867558627</v>
      </c>
      <c r="E13" s="50">
        <v>5.1689130275976679E-3</v>
      </c>
      <c r="F13" s="50">
        <v>7.1895153018806959E-2</v>
      </c>
      <c r="G13" s="50">
        <v>-273163.54721616948</v>
      </c>
      <c r="H13" s="50">
        <v>-204702.31254097744</v>
      </c>
      <c r="I13" s="50">
        <v>-168205.88169714974</v>
      </c>
      <c r="J13" s="50">
        <v>-0.1271547616099182</v>
      </c>
      <c r="K13" s="50">
        <v>1.1643401674554701</v>
      </c>
      <c r="L13" s="50">
        <v>3.5509033978763318</v>
      </c>
    </row>
    <row r="14" spans="1:13" x14ac:dyDescent="0.25">
      <c r="A14" s="54" t="s">
        <v>45</v>
      </c>
      <c r="B14" s="50">
        <v>-2.8138104826211929E-2</v>
      </c>
      <c r="C14" s="50">
        <v>6.8607890511384068E-3</v>
      </c>
      <c r="D14" s="50">
        <v>8.2829880183049931E-2</v>
      </c>
      <c r="E14" s="50">
        <v>3.7064522129258109E-3</v>
      </c>
      <c r="F14" s="50">
        <v>6.0880639064696186E-2</v>
      </c>
      <c r="G14" s="50">
        <v>-220829.22049372486</v>
      </c>
      <c r="H14" s="50">
        <v>-164381.13366927704</v>
      </c>
      <c r="I14" s="50">
        <v>-134288.86748639194</v>
      </c>
      <c r="J14" s="50">
        <v>-0.38799660162776745</v>
      </c>
      <c r="K14" s="50">
        <v>0.38541521071188045</v>
      </c>
      <c r="L14" s="50">
        <v>1.8767758403671726</v>
      </c>
    </row>
    <row r="15" spans="1:13" x14ac:dyDescent="0.25">
      <c r="A15" s="55" t="s">
        <v>4</v>
      </c>
      <c r="B15" s="51">
        <v>6.4857997931540012E-3</v>
      </c>
      <c r="C15" s="51">
        <v>2.9277088434182157E-3</v>
      </c>
      <c r="D15" s="51">
        <v>5.4108306602759393E-2</v>
      </c>
      <c r="E15" s="51">
        <v>1.4595512586407582E-3</v>
      </c>
      <c r="F15" s="51">
        <v>3.8204073848750193E-2</v>
      </c>
      <c r="G15" s="51">
        <v>-119388.94423791548</v>
      </c>
      <c r="H15" s="51">
        <v>-82514.444573222834</v>
      </c>
      <c r="I15" s="51">
        <v>-62856.785267220446</v>
      </c>
      <c r="J15" s="51">
        <v>8.2020122266410436E-2</v>
      </c>
      <c r="K15" s="51">
        <v>0.22964656103478154</v>
      </c>
      <c r="L15" s="51">
        <v>0.19911686205372328</v>
      </c>
    </row>
    <row r="16" spans="1:13" x14ac:dyDescent="0.25">
      <c r="A16" s="54" t="s">
        <v>5</v>
      </c>
      <c r="B16" s="50">
        <v>1.4087620191276073E-2</v>
      </c>
      <c r="C16" s="50">
        <v>8.9199147879054797E-3</v>
      </c>
      <c r="D16" s="50">
        <v>9.4445300507253832E-2</v>
      </c>
      <c r="E16" s="50">
        <v>4.8822131664564604E-3</v>
      </c>
      <c r="F16" s="50">
        <v>6.9872835683521969E-2</v>
      </c>
      <c r="G16" s="50">
        <v>-205625.00385306502</v>
      </c>
      <c r="H16" s="50">
        <v>-141261.07490118535</v>
      </c>
      <c r="I16" s="50">
        <v>-106948.90257513568</v>
      </c>
      <c r="J16" s="50">
        <v>-0.31808718899998739</v>
      </c>
      <c r="K16" s="50">
        <v>6.2580324891599037E-2</v>
      </c>
      <c r="L16" s="50">
        <v>1.0215853407179822</v>
      </c>
    </row>
    <row r="17" spans="1:12" x14ac:dyDescent="0.25">
      <c r="A17" s="54" t="s">
        <v>6</v>
      </c>
      <c r="B17" s="50">
        <v>2.3454474285244942E-2</v>
      </c>
      <c r="C17" s="50">
        <v>2.0673670302539301E-2</v>
      </c>
      <c r="D17" s="50">
        <v>0.14378341456002253</v>
      </c>
      <c r="E17" s="50">
        <v>9.8170645169796799E-3</v>
      </c>
      <c r="F17" s="50">
        <v>9.9081100705329675E-2</v>
      </c>
      <c r="G17" s="50">
        <v>-311035.76649292413</v>
      </c>
      <c r="H17" s="50">
        <v>-213048.19665625272</v>
      </c>
      <c r="I17" s="50">
        <v>-160811.38580897913</v>
      </c>
      <c r="J17" s="50">
        <v>0.23540917851880841</v>
      </c>
      <c r="K17" s="50">
        <v>0.20309354824068437</v>
      </c>
      <c r="L17" s="50">
        <v>0.6572922866514801</v>
      </c>
    </row>
    <row r="18" spans="1:12" x14ac:dyDescent="0.25">
      <c r="A18" s="54" t="s">
        <v>7</v>
      </c>
      <c r="B18" s="50">
        <v>4.7511506825685501E-2</v>
      </c>
      <c r="C18" s="50">
        <v>3.6738826913194543E-2</v>
      </c>
      <c r="D18" s="50">
        <v>0.19167375123682048</v>
      </c>
      <c r="E18" s="50">
        <v>2.1680316829119348E-2</v>
      </c>
      <c r="F18" s="50">
        <v>0.14724237443453345</v>
      </c>
      <c r="G18" s="50">
        <v>-398388.31686569675</v>
      </c>
      <c r="H18" s="50">
        <v>-267763.75809689442</v>
      </c>
      <c r="I18" s="50">
        <v>-198128.28923295625</v>
      </c>
      <c r="J18" s="50">
        <v>-0.58549368281677772</v>
      </c>
      <c r="K18" s="50">
        <v>-1.8613103850847246E-2</v>
      </c>
      <c r="L18" s="50">
        <v>3.4288946452709412</v>
      </c>
    </row>
    <row r="19" spans="1:12" x14ac:dyDescent="0.25">
      <c r="A19" s="54" t="s">
        <v>8</v>
      </c>
      <c r="B19" s="50">
        <v>8.1549935042858124E-2</v>
      </c>
      <c r="C19" s="50">
        <v>4.8216025264647099E-2</v>
      </c>
      <c r="D19" s="50">
        <v>0.21958147750811566</v>
      </c>
      <c r="E19" s="50">
        <v>2.2747586897551794E-2</v>
      </c>
      <c r="F19" s="50">
        <v>0.15082303172112604</v>
      </c>
      <c r="G19" s="50">
        <v>-429272.9683279256</v>
      </c>
      <c r="H19" s="50">
        <v>-279629.45465838484</v>
      </c>
      <c r="I19" s="50">
        <v>-199855.05132226131</v>
      </c>
      <c r="J19" s="50">
        <v>0.18088276745818463</v>
      </c>
      <c r="K19" s="50">
        <v>-9.4526984734746744E-2</v>
      </c>
      <c r="L19" s="50">
        <v>0.34952413274092453</v>
      </c>
    </row>
    <row r="20" spans="1:12" x14ac:dyDescent="0.25">
      <c r="A20" s="55" t="s">
        <v>9</v>
      </c>
      <c r="B20" s="51">
        <v>0.12691695988178253</v>
      </c>
      <c r="C20" s="51">
        <v>6.5754247802908464E-2</v>
      </c>
      <c r="D20" s="51">
        <v>0.25642591094292416</v>
      </c>
      <c r="E20" s="51">
        <v>3.1407044602112459E-2</v>
      </c>
      <c r="F20" s="51">
        <v>0.1772203278467582</v>
      </c>
      <c r="G20" s="51">
        <v>-469618.91287880245</v>
      </c>
      <c r="H20" s="51">
        <v>-294866.12978946528</v>
      </c>
      <c r="I20" s="51">
        <v>-201706.06785009848</v>
      </c>
      <c r="J20" s="51">
        <v>9.388677539944508E-2</v>
      </c>
      <c r="K20" s="51">
        <v>0.81902921974797893</v>
      </c>
      <c r="L20" s="51">
        <v>1.7651694229515165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"/>
  <sheetViews>
    <sheetView workbookViewId="0">
      <selection sqref="A1:XFD1048576"/>
    </sheetView>
  </sheetViews>
  <sheetFormatPr defaultRowHeight="15" x14ac:dyDescent="0.25"/>
  <cols>
    <col min="1" max="16384" width="9.140625" style="69"/>
  </cols>
  <sheetData>
    <row r="1" spans="1:10" x14ac:dyDescent="0.25">
      <c r="A1" s="69">
        <v>4.0254790335893631E-2</v>
      </c>
      <c r="B1" s="69">
        <v>-5.3008799441158772E-3</v>
      </c>
      <c r="C1" s="69">
        <v>1.1783115041907877E-4</v>
      </c>
      <c r="D1" s="69">
        <v>2.1916145924478769E-3</v>
      </c>
      <c r="E1" s="69">
        <v>7.9042481957003474E-4</v>
      </c>
      <c r="F1" s="69">
        <v>-1.555450726300478E-3</v>
      </c>
      <c r="G1" s="69">
        <v>-1.2124457862228155E-3</v>
      </c>
      <c r="H1" s="69">
        <v>-7.9154446721076965E-3</v>
      </c>
      <c r="I1" s="69">
        <v>-1.1907586827874184E-2</v>
      </c>
      <c r="J1" s="69">
        <v>-8.4076467901468277E-3</v>
      </c>
    </row>
    <row r="2" spans="1:10" x14ac:dyDescent="0.25">
      <c r="A2" s="69">
        <v>-5.3008799441158772E-3</v>
      </c>
      <c r="B2" s="69">
        <v>3.0748022720217705E-2</v>
      </c>
      <c r="C2" s="69">
        <v>2.4279940407723188E-4</v>
      </c>
      <c r="D2" s="69">
        <v>-2.2662652190774679E-3</v>
      </c>
      <c r="E2" s="69">
        <v>-6.6284264903515577E-4</v>
      </c>
      <c r="F2" s="69">
        <v>7.3590490501374006E-4</v>
      </c>
      <c r="G2" s="69">
        <v>3.9207371883094311E-3</v>
      </c>
      <c r="H2" s="69">
        <v>2.3741254117339849E-3</v>
      </c>
      <c r="I2" s="69">
        <v>1.3574282638728619E-3</v>
      </c>
      <c r="J2" s="69">
        <v>8.0285975709557533E-3</v>
      </c>
    </row>
    <row r="3" spans="1:10" x14ac:dyDescent="0.25">
      <c r="A3" s="69">
        <v>1.1783115041907877E-4</v>
      </c>
      <c r="B3" s="69">
        <v>2.4279940407723188E-4</v>
      </c>
      <c r="C3" s="69">
        <v>1.009171549230814E-2</v>
      </c>
      <c r="D3" s="69">
        <v>1.8851089989766479E-3</v>
      </c>
      <c r="E3" s="69">
        <v>5.1013390475418419E-5</v>
      </c>
      <c r="F3" s="69">
        <v>-1.5820750268176198E-3</v>
      </c>
      <c r="G3" s="69">
        <v>8.9342298451811075E-4</v>
      </c>
      <c r="H3" s="69">
        <v>-5.5778310634195805E-3</v>
      </c>
      <c r="I3" s="69">
        <v>1.1260369792580605E-3</v>
      </c>
      <c r="J3" s="69">
        <v>2.7599686291068792E-3</v>
      </c>
    </row>
    <row r="4" spans="1:10" x14ac:dyDescent="0.25">
      <c r="A4" s="69">
        <v>2.1916145924478769E-3</v>
      </c>
      <c r="B4" s="69">
        <v>-2.2662652190774679E-3</v>
      </c>
      <c r="C4" s="69">
        <v>1.8851089989766479E-3</v>
      </c>
      <c r="D4" s="69">
        <v>6.8607879802584648E-3</v>
      </c>
      <c r="E4" s="69">
        <v>4.3528585229068995E-4</v>
      </c>
      <c r="F4" s="69">
        <v>-1.1719720205292106E-3</v>
      </c>
      <c r="G4" s="69">
        <v>7.2030123556032777E-4</v>
      </c>
      <c r="H4" s="69">
        <v>-1.9710562191903591E-3</v>
      </c>
      <c r="I4" s="69">
        <v>1.7495083156973124E-3</v>
      </c>
      <c r="J4" s="69">
        <v>1.1523674475029111E-3</v>
      </c>
    </row>
    <row r="5" spans="1:10" x14ac:dyDescent="0.25">
      <c r="A5" s="69">
        <v>7.9042481957003474E-4</v>
      </c>
      <c r="B5" s="69">
        <v>-6.6284264903515577E-4</v>
      </c>
      <c r="C5" s="69">
        <v>5.1013390475418419E-5</v>
      </c>
      <c r="D5" s="69">
        <v>4.3528585229068995E-4</v>
      </c>
      <c r="E5" s="69">
        <v>2.9277086723595858E-3</v>
      </c>
      <c r="F5" s="69">
        <v>1.0378388687968254E-3</v>
      </c>
      <c r="G5" s="69">
        <v>1.5289221191778779E-3</v>
      </c>
      <c r="H5" s="69">
        <v>1.5199107583612204E-3</v>
      </c>
      <c r="I5" s="69">
        <v>1.2661489890888333E-3</v>
      </c>
      <c r="J5" s="69">
        <v>-2.5406698696315289E-3</v>
      </c>
    </row>
    <row r="6" spans="1:10" x14ac:dyDescent="0.25">
      <c r="A6" s="69">
        <v>-1.555450726300478E-3</v>
      </c>
      <c r="B6" s="69">
        <v>7.3590490501374006E-4</v>
      </c>
      <c r="C6" s="69">
        <v>-1.5820750268176198E-3</v>
      </c>
      <c r="D6" s="69">
        <v>-1.1719720205292106E-3</v>
      </c>
      <c r="E6" s="69">
        <v>1.0378388687968254E-3</v>
      </c>
      <c r="F6" s="69">
        <v>8.9199142530560493E-3</v>
      </c>
      <c r="G6" s="69">
        <v>2.3707777727395296E-3</v>
      </c>
      <c r="H6" s="69">
        <v>2.3158898111432791E-3</v>
      </c>
      <c r="I6" s="69">
        <v>2.5732300709933043E-3</v>
      </c>
      <c r="J6" s="69">
        <v>-6.7562866024672985E-3</v>
      </c>
    </row>
    <row r="7" spans="1:10" x14ac:dyDescent="0.25">
      <c r="A7" s="69">
        <v>-1.2124457862228155E-3</v>
      </c>
      <c r="B7" s="69">
        <v>3.9207371883094311E-3</v>
      </c>
      <c r="C7" s="69">
        <v>8.9342298451811075E-4</v>
      </c>
      <c r="D7" s="69">
        <v>7.2030123556032777E-4</v>
      </c>
      <c r="E7" s="69">
        <v>1.5289221191778779E-3</v>
      </c>
      <c r="F7" s="69">
        <v>2.3707777727395296E-3</v>
      </c>
      <c r="G7" s="69">
        <v>2.0673664286732674E-2</v>
      </c>
      <c r="H7" s="69">
        <v>-1.9973386079072952E-3</v>
      </c>
      <c r="I7" s="69">
        <v>3.8683481980115175E-3</v>
      </c>
      <c r="J7" s="69">
        <v>-2.8633470647037029E-3</v>
      </c>
    </row>
    <row r="8" spans="1:10" x14ac:dyDescent="0.25">
      <c r="A8" s="69">
        <v>-7.9154446721076965E-3</v>
      </c>
      <c r="B8" s="69">
        <v>2.3741254117339849E-3</v>
      </c>
      <c r="C8" s="69">
        <v>-5.5778310634195805E-3</v>
      </c>
      <c r="D8" s="69">
        <v>-1.9710562191903591E-3</v>
      </c>
      <c r="E8" s="69">
        <v>1.5199107583612204E-3</v>
      </c>
      <c r="F8" s="69">
        <v>2.3158898111432791E-3</v>
      </c>
      <c r="G8" s="69">
        <v>-1.9973386079072952E-3</v>
      </c>
      <c r="H8" s="69">
        <v>3.673882782459259E-2</v>
      </c>
      <c r="I8" s="69">
        <v>2.51425476744771E-3</v>
      </c>
      <c r="J8" s="69">
        <v>-5.1062158308923244E-4</v>
      </c>
    </row>
    <row r="9" spans="1:10" x14ac:dyDescent="0.25">
      <c r="A9" s="69">
        <v>-1.1907586827874184E-2</v>
      </c>
      <c r="B9" s="69">
        <v>1.3574282638728619E-3</v>
      </c>
      <c r="C9" s="69">
        <v>1.1260369792580605E-3</v>
      </c>
      <c r="D9" s="69">
        <v>1.7495083156973124E-3</v>
      </c>
      <c r="E9" s="69">
        <v>1.2661489890888333E-3</v>
      </c>
      <c r="F9" s="69">
        <v>2.5732300709933043E-3</v>
      </c>
      <c r="G9" s="69">
        <v>3.8683481980115175E-3</v>
      </c>
      <c r="H9" s="69">
        <v>2.51425476744771E-3</v>
      </c>
      <c r="I9" s="69">
        <v>4.8216026276350021E-2</v>
      </c>
      <c r="J9" s="69">
        <v>-3.470264608040452E-3</v>
      </c>
    </row>
    <row r="10" spans="1:10" x14ac:dyDescent="0.25">
      <c r="A10" s="69">
        <v>-8.4076467901468277E-3</v>
      </c>
      <c r="B10" s="69">
        <v>8.0285975709557533E-3</v>
      </c>
      <c r="C10" s="69">
        <v>2.7599686291068792E-3</v>
      </c>
      <c r="D10" s="69">
        <v>1.1523674475029111E-3</v>
      </c>
      <c r="E10" s="69">
        <v>-2.5406698696315289E-3</v>
      </c>
      <c r="F10" s="69">
        <v>-6.7562866024672985E-3</v>
      </c>
      <c r="G10" s="69">
        <v>-2.8633470647037029E-3</v>
      </c>
      <c r="H10" s="69">
        <v>-5.1062158308923244E-4</v>
      </c>
      <c r="I10" s="69">
        <v>-3.470264608040452E-3</v>
      </c>
      <c r="J10" s="69">
        <v>6.5754242241382599E-2</v>
      </c>
    </row>
  </sheetData>
  <sortState ref="O506:R511">
    <sortCondition ref="O506:O51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0"/>
  <sheetViews>
    <sheetView workbookViewId="0"/>
  </sheetViews>
  <sheetFormatPr defaultRowHeight="15" x14ac:dyDescent="0.25"/>
  <cols>
    <col min="1" max="4" width="9.140625" style="40"/>
    <col min="5" max="16384" width="9.140625" style="69"/>
  </cols>
  <sheetData>
    <row r="1" spans="1:10" x14ac:dyDescent="0.25">
      <c r="A1" s="40">
        <v>1</v>
      </c>
      <c r="B1" s="40">
        <v>-0.15067131817340851</v>
      </c>
      <c r="C1" s="40">
        <v>5.846134852617979E-3</v>
      </c>
      <c r="D1" s="40">
        <v>0.13187679648399353</v>
      </c>
      <c r="E1" s="40">
        <v>7.2809465229511261E-2</v>
      </c>
      <c r="F1" s="40">
        <v>-8.2085631787776947E-2</v>
      </c>
      <c r="G1" s="40">
        <v>-4.202859103679657E-2</v>
      </c>
      <c r="H1" s="40">
        <v>-0.20582772791385651</v>
      </c>
      <c r="I1" s="40">
        <v>-0.27028334140777588</v>
      </c>
      <c r="J1" s="40">
        <v>-0.16341947019100189</v>
      </c>
    </row>
    <row r="2" spans="1:10" x14ac:dyDescent="0.25">
      <c r="A2" s="40">
        <v>-0.15067131817340851</v>
      </c>
      <c r="B2" s="40">
        <v>1</v>
      </c>
      <c r="C2" s="40">
        <v>1.3783405534923077E-2</v>
      </c>
      <c r="D2" s="40">
        <v>-0.15603253245353699</v>
      </c>
      <c r="E2" s="40">
        <v>-6.9861501455307007E-2</v>
      </c>
      <c r="F2" s="40">
        <v>4.4435776770114899E-2</v>
      </c>
      <c r="G2" s="40">
        <v>0.1555071622133255</v>
      </c>
      <c r="H2" s="40">
        <v>7.0637024939060211E-2</v>
      </c>
      <c r="I2" s="40">
        <v>3.5254340618848801E-2</v>
      </c>
      <c r="J2" s="40">
        <v>0.17855384945869446</v>
      </c>
    </row>
    <row r="3" spans="1:10" x14ac:dyDescent="0.25">
      <c r="A3" s="40">
        <v>5.846134852617979E-3</v>
      </c>
      <c r="B3" s="40">
        <v>1.3783405534923077E-2</v>
      </c>
      <c r="C3" s="40">
        <v>1</v>
      </c>
      <c r="D3" s="40">
        <v>0.22655151784420013</v>
      </c>
      <c r="E3" s="40">
        <v>9.3850754201412201E-3</v>
      </c>
      <c r="F3" s="40">
        <v>-0.16674938797950745</v>
      </c>
      <c r="G3" s="40">
        <v>6.185372918844223E-2</v>
      </c>
      <c r="H3" s="40">
        <v>-0.28968113660812378</v>
      </c>
      <c r="I3" s="40">
        <v>5.1047496497631073E-2</v>
      </c>
      <c r="J3" s="40">
        <v>0.10714200139045715</v>
      </c>
    </row>
    <row r="4" spans="1:10" x14ac:dyDescent="0.25">
      <c r="A4" s="40">
        <v>0.13187679648399353</v>
      </c>
      <c r="B4" s="40">
        <v>-0.15603253245353699</v>
      </c>
      <c r="C4" s="40">
        <v>0.22655151784420013</v>
      </c>
      <c r="D4" s="40">
        <v>1</v>
      </c>
      <c r="E4" s="40">
        <v>9.7123339772224426E-2</v>
      </c>
      <c r="F4" s="40">
        <v>-0.14981314539909363</v>
      </c>
      <c r="G4" s="40">
        <v>6.0480926185846329E-2</v>
      </c>
      <c r="H4" s="40">
        <v>-0.12415075302124023</v>
      </c>
      <c r="I4" s="40">
        <v>9.6190750598907471E-2</v>
      </c>
      <c r="J4" s="40">
        <v>5.4255291819572449E-2</v>
      </c>
    </row>
    <row r="5" spans="1:10" x14ac:dyDescent="0.25">
      <c r="A5" s="40">
        <v>7.2809465229511261E-2</v>
      </c>
      <c r="B5" s="40">
        <v>-6.9861501455307007E-2</v>
      </c>
      <c r="C5" s="40">
        <v>9.3850754201412201E-3</v>
      </c>
      <c r="D5" s="40">
        <v>9.7123339772224426E-2</v>
      </c>
      <c r="E5" s="40">
        <v>1</v>
      </c>
      <c r="F5" s="40">
        <v>0.20308865606784821</v>
      </c>
      <c r="G5" s="40">
        <v>0.19652269780635834</v>
      </c>
      <c r="H5" s="40">
        <v>0.14655192196369171</v>
      </c>
      <c r="I5" s="40">
        <v>0.10656759887933731</v>
      </c>
      <c r="J5" s="40">
        <v>-0.18311436474323273</v>
      </c>
    </row>
    <row r="6" spans="1:10" x14ac:dyDescent="0.25">
      <c r="A6" s="40">
        <v>-8.2085631787776947E-2</v>
      </c>
      <c r="B6" s="40">
        <v>4.4435776770114899E-2</v>
      </c>
      <c r="C6" s="40">
        <v>-0.16674938797950745</v>
      </c>
      <c r="D6" s="40">
        <v>-0.14981314539909363</v>
      </c>
      <c r="E6" s="40">
        <v>0.20308865606784821</v>
      </c>
      <c r="F6" s="40">
        <v>1</v>
      </c>
      <c r="G6" s="40">
        <v>0.17458292841911316</v>
      </c>
      <c r="H6" s="40">
        <v>0.12793073058128357</v>
      </c>
      <c r="I6" s="40">
        <v>0.12408022582530975</v>
      </c>
      <c r="J6" s="40">
        <v>-0.27897536754608154</v>
      </c>
    </row>
    <row r="7" spans="1:10" x14ac:dyDescent="0.25">
      <c r="A7" s="40">
        <v>-4.202859103679657E-2</v>
      </c>
      <c r="B7" s="40">
        <v>0.1555071622133255</v>
      </c>
      <c r="C7" s="40">
        <v>6.185372918844223E-2</v>
      </c>
      <c r="D7" s="40">
        <v>6.0480926185846329E-2</v>
      </c>
      <c r="E7" s="40">
        <v>0.19652269780635834</v>
      </c>
      <c r="F7" s="40">
        <v>0.17458292841911316</v>
      </c>
      <c r="G7" s="40">
        <v>1</v>
      </c>
      <c r="H7" s="40">
        <v>-7.2473682463169098E-2</v>
      </c>
      <c r="I7" s="40">
        <v>0.12252398580312729</v>
      </c>
      <c r="J7" s="40">
        <v>-7.7661067247390747E-2</v>
      </c>
    </row>
    <row r="8" spans="1:10" x14ac:dyDescent="0.25">
      <c r="A8" s="40">
        <v>-0.20582772791385651</v>
      </c>
      <c r="B8" s="40">
        <v>7.0637024939060211E-2</v>
      </c>
      <c r="C8" s="40">
        <v>-0.28968113660812378</v>
      </c>
      <c r="D8" s="40">
        <v>-0.12415075302124023</v>
      </c>
      <c r="E8" s="40">
        <v>0.14655192196369171</v>
      </c>
      <c r="F8" s="40">
        <v>0.12793073058128357</v>
      </c>
      <c r="G8" s="40">
        <v>-7.2473682463169098E-2</v>
      </c>
      <c r="H8" s="40">
        <v>1</v>
      </c>
      <c r="I8" s="40">
        <v>5.9738032519817352E-2</v>
      </c>
      <c r="J8" s="40">
        <v>-1.0389021597802639E-2</v>
      </c>
    </row>
    <row r="9" spans="1:10" x14ac:dyDescent="0.25">
      <c r="A9" s="40">
        <v>-0.27028334140777588</v>
      </c>
      <c r="B9" s="40">
        <v>3.5254340618848801E-2</v>
      </c>
      <c r="C9" s="40">
        <v>5.1047496497631073E-2</v>
      </c>
      <c r="D9" s="40">
        <v>9.6190750598907471E-2</v>
      </c>
      <c r="E9" s="40">
        <v>0.10656759887933731</v>
      </c>
      <c r="F9" s="40">
        <v>0.12408022582530975</v>
      </c>
      <c r="G9" s="40">
        <v>0.12252398580312729</v>
      </c>
      <c r="H9" s="40">
        <v>5.9738032519817352E-2</v>
      </c>
      <c r="I9" s="40">
        <v>1</v>
      </c>
      <c r="J9" s="40">
        <v>-6.1631821095943451E-2</v>
      </c>
    </row>
    <row r="10" spans="1:10" x14ac:dyDescent="0.25">
      <c r="A10" s="40">
        <v>-0.16341947019100189</v>
      </c>
      <c r="B10" s="40">
        <v>0.17855384945869446</v>
      </c>
      <c r="C10" s="40">
        <v>0.10714200139045715</v>
      </c>
      <c r="D10" s="40">
        <v>5.4255291819572449E-2</v>
      </c>
      <c r="E10" s="40">
        <v>-0.18311436474323273</v>
      </c>
      <c r="F10" s="40">
        <v>-0.27897536754608154</v>
      </c>
      <c r="G10" s="40">
        <v>-7.7661067247390747E-2</v>
      </c>
      <c r="H10" s="40">
        <v>-1.0389021597802639E-2</v>
      </c>
      <c r="I10" s="40">
        <v>-6.1631821095943451E-2</v>
      </c>
      <c r="J10" s="4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89"/>
  <sheetViews>
    <sheetView workbookViewId="0"/>
  </sheetViews>
  <sheetFormatPr defaultRowHeight="15" x14ac:dyDescent="0.25"/>
  <cols>
    <col min="1" max="1" width="7.28515625" style="39" bestFit="1" customWidth="1"/>
    <col min="2" max="2" width="10.42578125" style="39" bestFit="1" customWidth="1"/>
    <col min="3" max="3" width="18.140625" style="39" bestFit="1" customWidth="1"/>
    <col min="4" max="4" width="15.28515625" style="39" bestFit="1" customWidth="1"/>
    <col min="5" max="5" width="7.5703125" style="39" bestFit="1" customWidth="1"/>
    <col min="6" max="6" width="8.28515625" style="70" bestFit="1" customWidth="1"/>
    <col min="7" max="7" width="6.5703125" style="70" bestFit="1" customWidth="1"/>
    <col min="8" max="8" width="8" style="70" bestFit="1" customWidth="1"/>
    <col min="9" max="14" width="5.5703125" style="70" bestFit="1" customWidth="1"/>
    <col min="15" max="15" width="6.5703125" style="70" bestFit="1" customWidth="1"/>
    <col min="16" max="16384" width="9.140625" style="70"/>
  </cols>
  <sheetData>
    <row r="1" spans="1:16" x14ac:dyDescent="0.25">
      <c r="F1" s="39">
        <v>1.6855931162393707</v>
      </c>
      <c r="G1" s="39">
        <v>1.7278196099933065</v>
      </c>
      <c r="H1" s="39">
        <v>1.7067063631163382</v>
      </c>
    </row>
    <row r="2" spans="1:16" x14ac:dyDescent="0.25">
      <c r="F2" s="70" t="s">
        <v>33</v>
      </c>
      <c r="G2" s="70" t="s">
        <v>34</v>
      </c>
      <c r="H2" s="70" t="s">
        <v>35</v>
      </c>
    </row>
    <row r="3" spans="1:16" x14ac:dyDescent="0.25">
      <c r="F3" s="77" t="s">
        <v>36</v>
      </c>
      <c r="G3" s="76"/>
      <c r="H3" s="76"/>
    </row>
    <row r="9" spans="1:16" x14ac:dyDescent="0.25">
      <c r="A9" s="48"/>
      <c r="B9" s="48"/>
      <c r="C9" s="48"/>
      <c r="D9" s="48"/>
      <c r="E9" s="48">
        <f>CHIINV(0.05,2)</f>
        <v>5.9914645471079817</v>
      </c>
      <c r="F9" s="63" t="s">
        <v>25</v>
      </c>
      <c r="G9" s="63"/>
      <c r="H9" s="63"/>
      <c r="I9" s="63"/>
      <c r="J9" s="63"/>
      <c r="K9" s="63"/>
      <c r="L9" s="63"/>
      <c r="M9" s="63"/>
      <c r="N9" s="63"/>
      <c r="O9" s="63"/>
    </row>
    <row r="10" spans="1:16" x14ac:dyDescent="0.25">
      <c r="A10" s="64" t="s">
        <v>14</v>
      </c>
      <c r="B10" s="64" t="s">
        <v>15</v>
      </c>
      <c r="C10" s="64" t="s">
        <v>16</v>
      </c>
      <c r="D10" s="64" t="s">
        <v>26</v>
      </c>
      <c r="E10" s="64" t="s">
        <v>27</v>
      </c>
      <c r="F10" s="45" t="s">
        <v>42</v>
      </c>
      <c r="G10" s="45" t="s">
        <v>43</v>
      </c>
      <c r="H10" s="45" t="s">
        <v>44</v>
      </c>
      <c r="I10" s="45" t="s">
        <v>45</v>
      </c>
      <c r="J10" s="45" t="s">
        <v>4</v>
      </c>
      <c r="K10" s="45" t="s">
        <v>5</v>
      </c>
      <c r="L10" s="45" t="s">
        <v>6</v>
      </c>
      <c r="M10" s="45" t="s">
        <v>7</v>
      </c>
      <c r="N10" s="45" t="s">
        <v>8</v>
      </c>
      <c r="O10" s="62" t="s">
        <v>9</v>
      </c>
    </row>
    <row r="11" spans="1:16" x14ac:dyDescent="0.25">
      <c r="A11" s="65">
        <v>-6.9526523351669312E-2</v>
      </c>
      <c r="B11" s="65">
        <v>1.9592644572258001E-2</v>
      </c>
      <c r="C11" s="65">
        <v>0.13997372815017109</v>
      </c>
      <c r="D11" s="65" t="s">
        <v>41</v>
      </c>
      <c r="E11" s="65">
        <v>3.7192426869167465</v>
      </c>
      <c r="F11" s="58">
        <v>20</v>
      </c>
      <c r="G11" s="58">
        <v>80</v>
      </c>
      <c r="H11" s="58">
        <v>0</v>
      </c>
      <c r="I11" s="58">
        <v>0</v>
      </c>
      <c r="J11" s="58">
        <v>0</v>
      </c>
      <c r="K11" s="58">
        <v>0</v>
      </c>
      <c r="L11" s="58">
        <v>0</v>
      </c>
      <c r="M11" s="58">
        <v>0</v>
      </c>
      <c r="N11" s="58">
        <v>0</v>
      </c>
      <c r="O11" s="59">
        <v>0</v>
      </c>
      <c r="P11" s="46"/>
    </row>
    <row r="12" spans="1:16" x14ac:dyDescent="0.25">
      <c r="A12" s="66">
        <v>-6.8814791738986969E-2</v>
      </c>
      <c r="B12" s="66">
        <v>1.4828936343546959E-2</v>
      </c>
      <c r="C12" s="66">
        <v>0.12177412017151658</v>
      </c>
      <c r="D12" s="66" t="s">
        <v>41</v>
      </c>
      <c r="E12" s="66">
        <v>2.4718535392071428</v>
      </c>
      <c r="F12" s="46">
        <v>45</v>
      </c>
      <c r="G12" s="46">
        <v>55</v>
      </c>
      <c r="H12" s="46">
        <v>0</v>
      </c>
      <c r="I12" s="46">
        <v>0</v>
      </c>
      <c r="J12" s="46">
        <v>0</v>
      </c>
      <c r="K12" s="46">
        <v>0</v>
      </c>
      <c r="L12" s="46">
        <v>0</v>
      </c>
      <c r="M12" s="46">
        <v>0</v>
      </c>
      <c r="N12" s="46">
        <v>0</v>
      </c>
      <c r="O12" s="60">
        <v>0</v>
      </c>
      <c r="P12" s="46"/>
    </row>
    <row r="13" spans="1:16" x14ac:dyDescent="0.25">
      <c r="A13" s="66">
        <v>-6.7567907273769379E-2</v>
      </c>
      <c r="B13" s="66">
        <v>1.3818051762136746E-2</v>
      </c>
      <c r="C13" s="66">
        <v>0.1175502095367624</v>
      </c>
      <c r="D13" s="66" t="s">
        <v>41</v>
      </c>
      <c r="E13" s="66">
        <v>4.5583553141420738</v>
      </c>
      <c r="F13" s="46">
        <v>35</v>
      </c>
      <c r="G13" s="46">
        <v>60</v>
      </c>
      <c r="H13" s="46">
        <v>5</v>
      </c>
      <c r="I13" s="46">
        <v>0</v>
      </c>
      <c r="J13" s="46">
        <v>0</v>
      </c>
      <c r="K13" s="46">
        <v>0</v>
      </c>
      <c r="L13" s="46">
        <v>0</v>
      </c>
      <c r="M13" s="46">
        <v>0</v>
      </c>
      <c r="N13" s="46">
        <v>0</v>
      </c>
      <c r="O13" s="60">
        <v>0</v>
      </c>
      <c r="P13" s="46"/>
    </row>
    <row r="14" spans="1:16" x14ac:dyDescent="0.25">
      <c r="A14" s="66">
        <v>-6.6859245300292969E-2</v>
      </c>
      <c r="B14" s="66">
        <v>1.3389828117797153E-2</v>
      </c>
      <c r="C14" s="66">
        <v>0.11571442484754074</v>
      </c>
      <c r="D14" s="66" t="s">
        <v>41</v>
      </c>
      <c r="E14" s="66">
        <v>3.3462495684278117</v>
      </c>
      <c r="F14" s="46">
        <v>40</v>
      </c>
      <c r="G14" s="46">
        <v>55</v>
      </c>
      <c r="H14" s="46">
        <v>0</v>
      </c>
      <c r="I14" s="46">
        <v>5</v>
      </c>
      <c r="J14" s="46">
        <v>0</v>
      </c>
      <c r="K14" s="46">
        <v>0</v>
      </c>
      <c r="L14" s="46">
        <v>0</v>
      </c>
      <c r="M14" s="46">
        <v>0</v>
      </c>
      <c r="N14" s="46">
        <v>0</v>
      </c>
      <c r="O14" s="60">
        <v>0</v>
      </c>
      <c r="P14" s="46"/>
    </row>
    <row r="15" spans="1:16" x14ac:dyDescent="0.25">
      <c r="A15" s="67">
        <v>-6.5893985331058502E-2</v>
      </c>
      <c r="B15" s="67">
        <v>1.2142043743515388E-2</v>
      </c>
      <c r="C15" s="67">
        <v>0.11019094220268465</v>
      </c>
      <c r="D15" s="67" t="s">
        <v>41</v>
      </c>
      <c r="E15" s="67">
        <v>3.740325349894754</v>
      </c>
      <c r="F15" s="57">
        <v>40</v>
      </c>
      <c r="G15" s="57">
        <v>50</v>
      </c>
      <c r="H15" s="57">
        <v>10</v>
      </c>
      <c r="I15" s="57">
        <v>0</v>
      </c>
      <c r="J15" s="57">
        <v>0</v>
      </c>
      <c r="K15" s="57">
        <v>0</v>
      </c>
      <c r="L15" s="57">
        <v>0</v>
      </c>
      <c r="M15" s="57">
        <v>0</v>
      </c>
      <c r="N15" s="57">
        <v>0</v>
      </c>
      <c r="O15" s="61">
        <v>0</v>
      </c>
      <c r="P15" s="46"/>
    </row>
    <row r="16" spans="1:16" x14ac:dyDescent="0.25">
      <c r="A16" s="66">
        <v>-6.4504750072956085E-2</v>
      </c>
      <c r="B16" s="66">
        <v>1.1038765295743359E-2</v>
      </c>
      <c r="C16" s="66">
        <v>0.10506552857975521</v>
      </c>
      <c r="D16" s="66" t="s">
        <v>41</v>
      </c>
      <c r="E16" s="66">
        <v>5.3783026763938437</v>
      </c>
      <c r="F16" s="46">
        <v>35</v>
      </c>
      <c r="G16" s="46">
        <v>50</v>
      </c>
      <c r="H16" s="46">
        <v>15</v>
      </c>
      <c r="I16" s="46">
        <v>0</v>
      </c>
      <c r="J16" s="46">
        <v>0</v>
      </c>
      <c r="K16" s="46">
        <v>0</v>
      </c>
      <c r="L16" s="46">
        <v>0</v>
      </c>
      <c r="M16" s="46">
        <v>0</v>
      </c>
      <c r="N16" s="46">
        <v>0</v>
      </c>
      <c r="O16" s="60">
        <v>0</v>
      </c>
      <c r="P16" s="46"/>
    </row>
    <row r="17" spans="1:16" x14ac:dyDescent="0.25">
      <c r="A17" s="66">
        <v>-6.3938438892364502E-2</v>
      </c>
      <c r="B17" s="66">
        <v>1.0895751101343193E-2</v>
      </c>
      <c r="C17" s="66">
        <v>0.10438271457163391</v>
      </c>
      <c r="D17" s="66" t="s">
        <v>41</v>
      </c>
      <c r="E17" s="66">
        <v>5.0019024027606012</v>
      </c>
      <c r="F17" s="46">
        <v>35</v>
      </c>
      <c r="G17" s="46">
        <v>50</v>
      </c>
      <c r="H17" s="46">
        <v>10</v>
      </c>
      <c r="I17" s="46">
        <v>5</v>
      </c>
      <c r="J17" s="46">
        <v>0</v>
      </c>
      <c r="K17" s="46">
        <v>0</v>
      </c>
      <c r="L17" s="46">
        <v>0</v>
      </c>
      <c r="M17" s="46">
        <v>0</v>
      </c>
      <c r="N17" s="46">
        <v>0</v>
      </c>
      <c r="O17" s="60">
        <v>0</v>
      </c>
      <c r="P17" s="46"/>
    </row>
    <row r="18" spans="1:16" x14ac:dyDescent="0.25">
      <c r="A18" s="66">
        <v>-6.2973178923130035E-2</v>
      </c>
      <c r="B18" s="66">
        <v>9.951778108079453E-3</v>
      </c>
      <c r="C18" s="66">
        <v>9.9758599168590242E-2</v>
      </c>
      <c r="D18" s="66" t="s">
        <v>41</v>
      </c>
      <c r="E18" s="66">
        <v>5.6731996878030468</v>
      </c>
      <c r="F18" s="46">
        <v>35</v>
      </c>
      <c r="G18" s="46">
        <v>45</v>
      </c>
      <c r="H18" s="46">
        <v>20</v>
      </c>
      <c r="I18" s="46">
        <v>0</v>
      </c>
      <c r="J18" s="46">
        <v>0</v>
      </c>
      <c r="K18" s="46">
        <v>0</v>
      </c>
      <c r="L18" s="46">
        <v>0</v>
      </c>
      <c r="M18" s="46">
        <v>0</v>
      </c>
      <c r="N18" s="46">
        <v>0</v>
      </c>
      <c r="O18" s="60">
        <v>0</v>
      </c>
      <c r="P18" s="46"/>
    </row>
    <row r="19" spans="1:16" x14ac:dyDescent="0.25">
      <c r="A19" s="66">
        <v>-6.1583943665027618E-2</v>
      </c>
      <c r="B19" s="66">
        <v>9.1212049029127228E-3</v>
      </c>
      <c r="C19" s="66">
        <v>9.5504999360833065E-2</v>
      </c>
      <c r="D19" s="66" t="s">
        <v>41</v>
      </c>
      <c r="E19" s="68">
        <v>7.7930262633421217</v>
      </c>
      <c r="F19" s="46">
        <v>30</v>
      </c>
      <c r="G19" s="46">
        <v>45</v>
      </c>
      <c r="H19" s="46">
        <v>25</v>
      </c>
      <c r="I19" s="46">
        <v>0</v>
      </c>
      <c r="J19" s="46">
        <v>0</v>
      </c>
      <c r="K19" s="46">
        <v>0</v>
      </c>
      <c r="L19" s="46">
        <v>0</v>
      </c>
      <c r="M19" s="46">
        <v>0</v>
      </c>
      <c r="N19" s="46">
        <v>0</v>
      </c>
      <c r="O19" s="60">
        <v>0</v>
      </c>
      <c r="P19" s="46"/>
    </row>
    <row r="20" spans="1:16" x14ac:dyDescent="0.25">
      <c r="A20" s="67">
        <v>-6.0875285416841507E-2</v>
      </c>
      <c r="B20" s="67">
        <v>8.8665720043354674E-3</v>
      </c>
      <c r="C20" s="67">
        <v>9.416247662596533E-2</v>
      </c>
      <c r="D20" s="67" t="s">
        <v>41</v>
      </c>
      <c r="E20" s="67">
        <v>5.3276949383703069</v>
      </c>
      <c r="F20" s="57">
        <v>35</v>
      </c>
      <c r="G20" s="57">
        <v>40</v>
      </c>
      <c r="H20" s="57">
        <v>20</v>
      </c>
      <c r="I20" s="57">
        <v>5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61">
        <v>0</v>
      </c>
      <c r="P20" s="46"/>
    </row>
    <row r="21" spans="1:16" x14ac:dyDescent="0.25">
      <c r="A21" s="66">
        <v>-6.005236878991127E-2</v>
      </c>
      <c r="B21" s="66">
        <v>8.2581394372391523E-3</v>
      </c>
      <c r="C21" s="66">
        <v>9.0874305704303202E-2</v>
      </c>
      <c r="D21" s="66" t="s">
        <v>41</v>
      </c>
      <c r="E21" s="68">
        <v>8.1524165208080017</v>
      </c>
      <c r="F21" s="46">
        <v>30</v>
      </c>
      <c r="G21" s="46">
        <v>40</v>
      </c>
      <c r="H21" s="46">
        <v>30</v>
      </c>
      <c r="I21" s="46">
        <v>0</v>
      </c>
      <c r="J21" s="46">
        <v>0</v>
      </c>
      <c r="K21" s="46">
        <v>0</v>
      </c>
      <c r="L21" s="46">
        <v>0</v>
      </c>
      <c r="M21" s="46">
        <v>0</v>
      </c>
      <c r="N21" s="46">
        <v>0</v>
      </c>
      <c r="O21" s="60">
        <v>0</v>
      </c>
      <c r="P21" s="46"/>
    </row>
    <row r="22" spans="1:16" x14ac:dyDescent="0.25">
      <c r="A22" s="66">
        <v>-5.8520790189504623E-2</v>
      </c>
      <c r="B22" s="66">
        <v>7.5968446685874356E-3</v>
      </c>
      <c r="C22" s="66">
        <v>8.7159879925269718E-2</v>
      </c>
      <c r="D22" s="66" t="s">
        <v>41</v>
      </c>
      <c r="E22" s="68">
        <v>8.1152689789859522</v>
      </c>
      <c r="F22" s="46">
        <v>30</v>
      </c>
      <c r="G22" s="46">
        <v>35</v>
      </c>
      <c r="H22" s="46">
        <v>35</v>
      </c>
      <c r="I22" s="46">
        <v>0</v>
      </c>
      <c r="J22" s="46">
        <v>0</v>
      </c>
      <c r="K22" s="46">
        <v>0</v>
      </c>
      <c r="L22" s="46">
        <v>0</v>
      </c>
      <c r="M22" s="46">
        <v>0</v>
      </c>
      <c r="N22" s="46">
        <v>0</v>
      </c>
      <c r="O22" s="60">
        <v>0</v>
      </c>
      <c r="P22" s="46"/>
    </row>
    <row r="23" spans="1:16" x14ac:dyDescent="0.25">
      <c r="A23" s="66">
        <v>-5.7530511170625687E-2</v>
      </c>
      <c r="B23" s="66">
        <v>7.1605958771397138E-3</v>
      </c>
      <c r="C23" s="66">
        <v>8.4620304165960752E-2</v>
      </c>
      <c r="D23" s="66" t="s">
        <v>41</v>
      </c>
      <c r="E23" s="68">
        <v>9.7513790448228832</v>
      </c>
      <c r="F23" s="46">
        <v>25</v>
      </c>
      <c r="G23" s="46">
        <v>40</v>
      </c>
      <c r="H23" s="46">
        <v>25</v>
      </c>
      <c r="I23" s="46">
        <v>10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60">
        <v>0</v>
      </c>
      <c r="P23" s="46"/>
    </row>
    <row r="24" spans="1:16" x14ac:dyDescent="0.25">
      <c r="A24" s="66">
        <v>-5.6565247476100922E-2</v>
      </c>
      <c r="B24" s="66">
        <v>6.7298465091880626E-3</v>
      </c>
      <c r="C24" s="66">
        <v>8.2035641700349146E-2</v>
      </c>
      <c r="D24" s="66" t="s">
        <v>41</v>
      </c>
      <c r="E24" s="68">
        <v>10.327584126588322</v>
      </c>
      <c r="F24" s="46">
        <v>25</v>
      </c>
      <c r="G24" s="46">
        <v>35</v>
      </c>
      <c r="H24" s="46">
        <v>35</v>
      </c>
      <c r="I24" s="46">
        <v>5</v>
      </c>
      <c r="J24" s="46">
        <v>0</v>
      </c>
      <c r="K24" s="46">
        <v>0</v>
      </c>
      <c r="L24" s="46">
        <v>0</v>
      </c>
      <c r="M24" s="46">
        <v>0</v>
      </c>
      <c r="N24" s="46">
        <v>0</v>
      </c>
      <c r="O24" s="60">
        <v>0</v>
      </c>
      <c r="P24" s="46"/>
    </row>
    <row r="25" spans="1:16" x14ac:dyDescent="0.25">
      <c r="A25" s="67">
        <v>-5.599893257021904E-2</v>
      </c>
      <c r="B25" s="67">
        <v>6.4644767147547097E-3</v>
      </c>
      <c r="C25" s="67">
        <v>8.0401969594996306E-2</v>
      </c>
      <c r="D25" s="67" t="s">
        <v>41</v>
      </c>
      <c r="E25" s="71">
        <v>9.953773996650197</v>
      </c>
      <c r="F25" s="57">
        <v>25</v>
      </c>
      <c r="G25" s="57">
        <v>35</v>
      </c>
      <c r="H25" s="57">
        <v>30</v>
      </c>
      <c r="I25" s="57">
        <v>10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61">
        <v>0</v>
      </c>
      <c r="P25" s="46"/>
    </row>
    <row r="26" spans="1:16" x14ac:dyDescent="0.25">
      <c r="A26" s="66">
        <v>-5.460970476269722E-2</v>
      </c>
      <c r="B26" s="66">
        <v>6.0765100954449725E-3</v>
      </c>
      <c r="C26" s="66">
        <v>7.7951973005466468E-2</v>
      </c>
      <c r="D26" s="66" t="s">
        <v>41</v>
      </c>
      <c r="E26" s="68">
        <v>12.113529216561881</v>
      </c>
      <c r="F26" s="46">
        <v>20</v>
      </c>
      <c r="G26" s="46">
        <v>35</v>
      </c>
      <c r="H26" s="46">
        <v>35</v>
      </c>
      <c r="I26" s="46">
        <v>10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60">
        <v>0</v>
      </c>
      <c r="P26" s="46"/>
    </row>
    <row r="27" spans="1:16" x14ac:dyDescent="0.25">
      <c r="A27" s="66">
        <v>-5.390104278922081E-2</v>
      </c>
      <c r="B27" s="66">
        <v>5.7421821729803924E-3</v>
      </c>
      <c r="C27" s="66">
        <v>7.5777187681916464E-2</v>
      </c>
      <c r="D27" s="66" t="s">
        <v>41</v>
      </c>
      <c r="E27" s="68">
        <v>8.811985512133468</v>
      </c>
      <c r="F27" s="46">
        <v>25</v>
      </c>
      <c r="G27" s="46">
        <v>30</v>
      </c>
      <c r="H27" s="46">
        <v>30</v>
      </c>
      <c r="I27" s="46">
        <v>15</v>
      </c>
      <c r="J27" s="46">
        <v>0</v>
      </c>
      <c r="K27" s="46">
        <v>0</v>
      </c>
      <c r="L27" s="46">
        <v>0</v>
      </c>
      <c r="M27" s="46">
        <v>0</v>
      </c>
      <c r="N27" s="46">
        <v>0</v>
      </c>
      <c r="O27" s="60">
        <v>0</v>
      </c>
      <c r="P27" s="46"/>
    </row>
    <row r="28" spans="1:16" x14ac:dyDescent="0.25">
      <c r="A28" s="66">
        <v>-5.2511811256408691E-2</v>
      </c>
      <c r="B28" s="66">
        <v>5.3249646289623351E-3</v>
      </c>
      <c r="C28" s="66">
        <v>7.2972355237873029E-2</v>
      </c>
      <c r="D28" s="66" t="s">
        <v>41</v>
      </c>
      <c r="E28" s="68">
        <v>11.259545242352509</v>
      </c>
      <c r="F28" s="46">
        <v>20</v>
      </c>
      <c r="G28" s="46">
        <v>30</v>
      </c>
      <c r="H28" s="46">
        <v>35</v>
      </c>
      <c r="I28" s="46">
        <v>15</v>
      </c>
      <c r="J28" s="46">
        <v>0</v>
      </c>
      <c r="K28" s="46">
        <v>0</v>
      </c>
      <c r="L28" s="46">
        <v>0</v>
      </c>
      <c r="M28" s="46">
        <v>0</v>
      </c>
      <c r="N28" s="46">
        <v>0</v>
      </c>
      <c r="O28" s="60">
        <v>0</v>
      </c>
      <c r="P28" s="46"/>
    </row>
    <row r="29" spans="1:16" x14ac:dyDescent="0.25">
      <c r="A29" s="66">
        <v>-5.1945500075817108E-2</v>
      </c>
      <c r="B29" s="66">
        <v>5.1115280302474267E-3</v>
      </c>
      <c r="C29" s="66">
        <v>7.1494951082208782E-2</v>
      </c>
      <c r="D29" s="66" t="s">
        <v>41</v>
      </c>
      <c r="E29" s="68">
        <v>10.513176607668431</v>
      </c>
      <c r="F29" s="46">
        <v>20</v>
      </c>
      <c r="G29" s="46">
        <v>30</v>
      </c>
      <c r="H29" s="46">
        <v>30</v>
      </c>
      <c r="I29" s="46">
        <v>20</v>
      </c>
      <c r="J29" s="46">
        <v>0</v>
      </c>
      <c r="K29" s="46">
        <v>0</v>
      </c>
      <c r="L29" s="46">
        <v>0</v>
      </c>
      <c r="M29" s="46">
        <v>0</v>
      </c>
      <c r="N29" s="46">
        <v>0</v>
      </c>
      <c r="O29" s="60">
        <v>0</v>
      </c>
      <c r="P29" s="46"/>
    </row>
    <row r="30" spans="1:16" x14ac:dyDescent="0.25">
      <c r="A30" s="67">
        <v>-5.0812873989343643E-2</v>
      </c>
      <c r="B30" s="67">
        <v>4.8823891149368135E-3</v>
      </c>
      <c r="C30" s="67">
        <v>6.9874094734292E-2</v>
      </c>
      <c r="D30" s="67" t="s">
        <v>41</v>
      </c>
      <c r="E30" s="71">
        <v>7.9076930270654797</v>
      </c>
      <c r="F30" s="57">
        <v>20</v>
      </c>
      <c r="G30" s="57">
        <v>30</v>
      </c>
      <c r="H30" s="57">
        <v>20</v>
      </c>
      <c r="I30" s="57">
        <v>30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61">
        <v>0</v>
      </c>
      <c r="P30" s="46"/>
    </row>
    <row r="31" spans="1:16" x14ac:dyDescent="0.25">
      <c r="A31" s="66">
        <v>-4.9847610294818878E-2</v>
      </c>
      <c r="B31" s="66">
        <v>4.6081129874801265E-3</v>
      </c>
      <c r="C31" s="66">
        <v>6.7883083220196525E-2</v>
      </c>
      <c r="D31" s="66" t="s">
        <v>41</v>
      </c>
      <c r="E31" s="68">
        <v>8.0526845175549138</v>
      </c>
      <c r="F31" s="46">
        <v>20</v>
      </c>
      <c r="G31" s="46">
        <v>25</v>
      </c>
      <c r="H31" s="46">
        <v>30</v>
      </c>
      <c r="I31" s="46">
        <v>25</v>
      </c>
      <c r="J31" s="46">
        <v>0</v>
      </c>
      <c r="K31" s="46">
        <v>0</v>
      </c>
      <c r="L31" s="46">
        <v>0</v>
      </c>
      <c r="M31" s="46">
        <v>0</v>
      </c>
      <c r="N31" s="46">
        <v>0</v>
      </c>
      <c r="O31" s="60">
        <v>0</v>
      </c>
      <c r="P31" s="46"/>
    </row>
    <row r="32" spans="1:16" x14ac:dyDescent="0.25">
      <c r="A32" s="66">
        <v>-4.8714984208345413E-2</v>
      </c>
      <c r="B32" s="66">
        <v>4.4538215082138774E-3</v>
      </c>
      <c r="C32" s="66">
        <v>6.673695758883437E-2</v>
      </c>
      <c r="D32" s="66" t="s">
        <v>41</v>
      </c>
      <c r="E32" s="66">
        <v>5.0945052601947882</v>
      </c>
      <c r="F32" s="46">
        <v>20</v>
      </c>
      <c r="G32" s="46">
        <v>25</v>
      </c>
      <c r="H32" s="46">
        <v>20</v>
      </c>
      <c r="I32" s="46">
        <v>35</v>
      </c>
      <c r="J32" s="46">
        <v>0</v>
      </c>
      <c r="K32" s="46">
        <v>0</v>
      </c>
      <c r="L32" s="46">
        <v>0</v>
      </c>
      <c r="M32" s="46">
        <v>0</v>
      </c>
      <c r="N32" s="46">
        <v>0</v>
      </c>
      <c r="O32" s="60">
        <v>0</v>
      </c>
      <c r="P32" s="46"/>
    </row>
    <row r="33" spans="1:16" x14ac:dyDescent="0.25">
      <c r="A33" s="66">
        <v>-4.7892063856124878E-2</v>
      </c>
      <c r="B33" s="66">
        <v>4.1992933837173034E-3</v>
      </c>
      <c r="C33" s="66">
        <v>6.4801955091781785E-2</v>
      </c>
      <c r="D33" s="66" t="s">
        <v>41</v>
      </c>
      <c r="E33" s="68">
        <v>8.3780509503550942</v>
      </c>
      <c r="F33" s="46">
        <v>15</v>
      </c>
      <c r="G33" s="46">
        <v>25</v>
      </c>
      <c r="H33" s="46">
        <v>30</v>
      </c>
      <c r="I33" s="46">
        <v>30</v>
      </c>
      <c r="J33" s="46">
        <v>0</v>
      </c>
      <c r="K33" s="46">
        <v>0</v>
      </c>
      <c r="L33" s="46">
        <v>0</v>
      </c>
      <c r="M33" s="46">
        <v>0</v>
      </c>
      <c r="N33" s="46">
        <v>0</v>
      </c>
      <c r="O33" s="60">
        <v>0</v>
      </c>
      <c r="P33" s="46"/>
    </row>
    <row r="34" spans="1:16" x14ac:dyDescent="0.25">
      <c r="A34" s="66">
        <v>-4.6759441494941711E-2</v>
      </c>
      <c r="B34" s="66">
        <v>4.0740208598435855E-3</v>
      </c>
      <c r="C34" s="66">
        <v>6.382805699567852E-2</v>
      </c>
      <c r="D34" s="66" t="s">
        <v>41</v>
      </c>
      <c r="E34" s="66">
        <v>5.3155613871725906</v>
      </c>
      <c r="F34" s="46">
        <v>15</v>
      </c>
      <c r="G34" s="46">
        <v>25</v>
      </c>
      <c r="H34" s="46">
        <v>20</v>
      </c>
      <c r="I34" s="46">
        <v>40</v>
      </c>
      <c r="J34" s="46">
        <v>0</v>
      </c>
      <c r="K34" s="46">
        <v>0</v>
      </c>
      <c r="L34" s="46">
        <v>0</v>
      </c>
      <c r="M34" s="46">
        <v>0</v>
      </c>
      <c r="N34" s="46">
        <v>0</v>
      </c>
      <c r="O34" s="60">
        <v>0</v>
      </c>
      <c r="P34" s="46"/>
    </row>
    <row r="35" spans="1:16" x14ac:dyDescent="0.25">
      <c r="A35" s="67">
        <v>-4.5594558119773865E-2</v>
      </c>
      <c r="B35" s="67">
        <v>3.8743189734304906E-3</v>
      </c>
      <c r="C35" s="67">
        <v>6.2244027612538784E-2</v>
      </c>
      <c r="D35" s="67" t="s">
        <v>41</v>
      </c>
      <c r="E35" s="71">
        <v>7.7114931816846912</v>
      </c>
      <c r="F35" s="57">
        <v>15</v>
      </c>
      <c r="G35" s="57">
        <v>25</v>
      </c>
      <c r="H35" s="57">
        <v>25</v>
      </c>
      <c r="I35" s="57">
        <v>30</v>
      </c>
      <c r="J35" s="57">
        <v>5</v>
      </c>
      <c r="K35" s="57">
        <v>0</v>
      </c>
      <c r="L35" s="57">
        <v>0</v>
      </c>
      <c r="M35" s="57">
        <v>0</v>
      </c>
      <c r="N35" s="57">
        <v>0</v>
      </c>
      <c r="O35" s="61">
        <v>0</v>
      </c>
      <c r="P35" s="46"/>
    </row>
    <row r="36" spans="1:16" x14ac:dyDescent="0.25">
      <c r="A36" s="66">
        <v>-4.4648151844739914E-2</v>
      </c>
      <c r="B36" s="66">
        <v>3.7475266683031803E-3</v>
      </c>
      <c r="C36" s="66">
        <v>6.1217045569867061E-2</v>
      </c>
      <c r="D36" s="66" t="s">
        <v>41</v>
      </c>
      <c r="E36" s="68">
        <v>7.2683787084891698</v>
      </c>
      <c r="F36" s="46">
        <v>15</v>
      </c>
      <c r="G36" s="46">
        <v>25</v>
      </c>
      <c r="H36" s="46">
        <v>20</v>
      </c>
      <c r="I36" s="46">
        <v>35</v>
      </c>
      <c r="J36" s="46">
        <v>0</v>
      </c>
      <c r="K36" s="46">
        <v>5</v>
      </c>
      <c r="L36" s="46">
        <v>0</v>
      </c>
      <c r="M36" s="46">
        <v>0</v>
      </c>
      <c r="N36" s="46">
        <v>0</v>
      </c>
      <c r="O36" s="60">
        <v>0</v>
      </c>
      <c r="P36" s="46"/>
    </row>
    <row r="37" spans="1:16" x14ac:dyDescent="0.25">
      <c r="A37" s="66">
        <v>-4.3682888150215149E-2</v>
      </c>
      <c r="B37" s="66">
        <v>3.5787447575421536E-3</v>
      </c>
      <c r="C37" s="66">
        <v>5.9822610754982547E-2</v>
      </c>
      <c r="D37" s="66" t="s">
        <v>41</v>
      </c>
      <c r="E37" s="68">
        <v>7.2925745571378382</v>
      </c>
      <c r="F37" s="46">
        <v>15</v>
      </c>
      <c r="G37" s="46">
        <v>20</v>
      </c>
      <c r="H37" s="46">
        <v>30</v>
      </c>
      <c r="I37" s="46">
        <v>30</v>
      </c>
      <c r="J37" s="46">
        <v>0</v>
      </c>
      <c r="K37" s="46">
        <v>5</v>
      </c>
      <c r="L37" s="46">
        <v>0</v>
      </c>
      <c r="M37" s="46">
        <v>0</v>
      </c>
      <c r="N37" s="46">
        <v>0</v>
      </c>
      <c r="O37" s="60">
        <v>0</v>
      </c>
      <c r="P37" s="46"/>
    </row>
    <row r="38" spans="1:16" x14ac:dyDescent="0.25">
      <c r="A38" s="66">
        <v>-4.2550262063741684E-2</v>
      </c>
      <c r="B38" s="66">
        <v>3.4826639099628668E-3</v>
      </c>
      <c r="C38" s="66">
        <v>5.9014099247238085E-2</v>
      </c>
      <c r="D38" s="66" t="s">
        <v>41</v>
      </c>
      <c r="E38" s="66">
        <v>3.9605946722746461</v>
      </c>
      <c r="F38" s="46">
        <v>15</v>
      </c>
      <c r="G38" s="46">
        <v>20</v>
      </c>
      <c r="H38" s="46">
        <v>20</v>
      </c>
      <c r="I38" s="46">
        <v>40</v>
      </c>
      <c r="J38" s="46">
        <v>0</v>
      </c>
      <c r="K38" s="46">
        <v>5</v>
      </c>
      <c r="L38" s="46">
        <v>0</v>
      </c>
      <c r="M38" s="46">
        <v>0</v>
      </c>
      <c r="N38" s="46">
        <v>0</v>
      </c>
      <c r="O38" s="60">
        <v>0</v>
      </c>
      <c r="P38" s="46"/>
    </row>
    <row r="39" spans="1:16" x14ac:dyDescent="0.25">
      <c r="A39" s="66">
        <v>-4.157160222530365E-2</v>
      </c>
      <c r="B39" s="66">
        <v>3.3333549064991533E-3</v>
      </c>
      <c r="C39" s="66">
        <v>5.773521374775669E-2</v>
      </c>
      <c r="D39" s="66" t="s">
        <v>41</v>
      </c>
      <c r="E39" s="68">
        <v>10.10562192553871</v>
      </c>
      <c r="F39" s="46">
        <v>15</v>
      </c>
      <c r="G39" s="46">
        <v>20</v>
      </c>
      <c r="H39" s="46">
        <v>30</v>
      </c>
      <c r="I39" s="46">
        <v>25</v>
      </c>
      <c r="J39" s="46">
        <v>0</v>
      </c>
      <c r="K39" s="46">
        <v>10</v>
      </c>
      <c r="L39" s="46">
        <v>0</v>
      </c>
      <c r="M39" s="46">
        <v>0</v>
      </c>
      <c r="N39" s="46">
        <v>0</v>
      </c>
      <c r="O39" s="60">
        <v>0</v>
      </c>
      <c r="P39" s="46"/>
    </row>
    <row r="40" spans="1:16" x14ac:dyDescent="0.25">
      <c r="A40" s="67">
        <v>-4.1005291044712067E-2</v>
      </c>
      <c r="B40" s="67">
        <v>3.2295308891480091E-3</v>
      </c>
      <c r="C40" s="67">
        <v>5.6828961710979807E-2</v>
      </c>
      <c r="D40" s="67" t="s">
        <v>41</v>
      </c>
      <c r="E40" s="71">
        <v>8.2771132530699116</v>
      </c>
      <c r="F40" s="57">
        <v>15</v>
      </c>
      <c r="G40" s="57">
        <v>20</v>
      </c>
      <c r="H40" s="57">
        <v>25</v>
      </c>
      <c r="I40" s="57">
        <v>30</v>
      </c>
      <c r="J40" s="57">
        <v>0</v>
      </c>
      <c r="K40" s="57">
        <v>10</v>
      </c>
      <c r="L40" s="57">
        <v>0</v>
      </c>
      <c r="M40" s="57">
        <v>0</v>
      </c>
      <c r="N40" s="57">
        <v>0</v>
      </c>
      <c r="O40" s="61">
        <v>0</v>
      </c>
      <c r="P40" s="46"/>
    </row>
    <row r="41" spans="1:16" x14ac:dyDescent="0.25">
      <c r="A41" s="66">
        <v>-3.9654184132814407E-2</v>
      </c>
      <c r="B41" s="66">
        <v>3.0896372586721567E-3</v>
      </c>
      <c r="C41" s="66">
        <v>5.5584505562900857E-2</v>
      </c>
      <c r="D41" s="66" t="s">
        <v>41</v>
      </c>
      <c r="E41" s="68">
        <v>7.381866784155207</v>
      </c>
      <c r="F41" s="46">
        <v>15</v>
      </c>
      <c r="G41" s="46">
        <v>20</v>
      </c>
      <c r="H41" s="46">
        <v>25</v>
      </c>
      <c r="I41" s="46">
        <v>25</v>
      </c>
      <c r="J41" s="46">
        <v>10</v>
      </c>
      <c r="K41" s="46">
        <v>5</v>
      </c>
      <c r="L41" s="46">
        <v>0</v>
      </c>
      <c r="M41" s="46">
        <v>0</v>
      </c>
      <c r="N41" s="46">
        <v>0</v>
      </c>
      <c r="O41" s="60">
        <v>0</v>
      </c>
      <c r="P41" s="46"/>
    </row>
    <row r="42" spans="1:16" x14ac:dyDescent="0.25">
      <c r="A42" s="66">
        <v>-3.8707781583070755E-2</v>
      </c>
      <c r="B42" s="66">
        <v>2.9854873385920661E-3</v>
      </c>
      <c r="C42" s="66">
        <v>5.463961327271695E-2</v>
      </c>
      <c r="D42" s="66" t="s">
        <v>41</v>
      </c>
      <c r="E42" s="68">
        <v>7.2124617855423505</v>
      </c>
      <c r="F42" s="46">
        <v>15</v>
      </c>
      <c r="G42" s="46">
        <v>20</v>
      </c>
      <c r="H42" s="46">
        <v>20</v>
      </c>
      <c r="I42" s="46">
        <v>30</v>
      </c>
      <c r="J42" s="46">
        <v>5</v>
      </c>
      <c r="K42" s="46">
        <v>10</v>
      </c>
      <c r="L42" s="46">
        <v>0</v>
      </c>
      <c r="M42" s="46">
        <v>0</v>
      </c>
      <c r="N42" s="46">
        <v>0</v>
      </c>
      <c r="O42" s="60">
        <v>0</v>
      </c>
      <c r="P42" s="46"/>
    </row>
    <row r="43" spans="1:16" x14ac:dyDescent="0.25">
      <c r="A43" s="66">
        <v>-3.7698641419410706E-2</v>
      </c>
      <c r="B43" s="66">
        <v>2.8454900746146456E-3</v>
      </c>
      <c r="C43" s="66">
        <v>5.3343135215458096E-2</v>
      </c>
      <c r="D43" s="66" t="s">
        <v>41</v>
      </c>
      <c r="E43" s="68">
        <v>6.3475491369657506</v>
      </c>
      <c r="F43" s="46">
        <v>10</v>
      </c>
      <c r="G43" s="46">
        <v>20</v>
      </c>
      <c r="H43" s="46">
        <v>25</v>
      </c>
      <c r="I43" s="46">
        <v>30</v>
      </c>
      <c r="J43" s="46">
        <v>10</v>
      </c>
      <c r="K43" s="46">
        <v>5</v>
      </c>
      <c r="L43" s="46">
        <v>0</v>
      </c>
      <c r="M43" s="46">
        <v>0</v>
      </c>
      <c r="N43" s="46">
        <v>0</v>
      </c>
      <c r="O43" s="60">
        <v>0</v>
      </c>
      <c r="P43" s="46"/>
    </row>
    <row r="44" spans="1:16" x14ac:dyDescent="0.25">
      <c r="A44" s="66">
        <v>-3.6752238869667053E-2</v>
      </c>
      <c r="B44" s="66">
        <v>2.7595427205960735E-3</v>
      </c>
      <c r="C44" s="66">
        <v>5.2531349883627336E-2</v>
      </c>
      <c r="D44" s="66" t="s">
        <v>41</v>
      </c>
      <c r="E44" s="66">
        <v>5.955300996726768</v>
      </c>
      <c r="F44" s="46">
        <v>10</v>
      </c>
      <c r="G44" s="46">
        <v>20</v>
      </c>
      <c r="H44" s="46">
        <v>20</v>
      </c>
      <c r="I44" s="46">
        <v>35</v>
      </c>
      <c r="J44" s="46">
        <v>5</v>
      </c>
      <c r="K44" s="46">
        <v>10</v>
      </c>
      <c r="L44" s="46">
        <v>0</v>
      </c>
      <c r="M44" s="46">
        <v>0</v>
      </c>
      <c r="N44" s="46">
        <v>0</v>
      </c>
      <c r="O44" s="60">
        <v>0</v>
      </c>
      <c r="P44" s="46"/>
    </row>
    <row r="45" spans="1:16" x14ac:dyDescent="0.25">
      <c r="A45" s="67">
        <v>-3.5587355494499207E-2</v>
      </c>
      <c r="B45" s="67">
        <v>2.6421970004594196E-3</v>
      </c>
      <c r="C45" s="67">
        <v>5.140230540023881E-2</v>
      </c>
      <c r="D45" s="67" t="s">
        <v>41</v>
      </c>
      <c r="E45" s="71">
        <v>8.2377374439569788</v>
      </c>
      <c r="F45" s="57">
        <v>10</v>
      </c>
      <c r="G45" s="57">
        <v>20</v>
      </c>
      <c r="H45" s="57">
        <v>25</v>
      </c>
      <c r="I45" s="57">
        <v>25</v>
      </c>
      <c r="J45" s="57">
        <v>10</v>
      </c>
      <c r="K45" s="57">
        <v>10</v>
      </c>
      <c r="L45" s="57">
        <v>0</v>
      </c>
      <c r="M45" s="57">
        <v>0</v>
      </c>
      <c r="N45" s="57">
        <v>0</v>
      </c>
      <c r="O45" s="61">
        <v>0</v>
      </c>
      <c r="P45" s="46"/>
    </row>
    <row r="46" spans="1:16" x14ac:dyDescent="0.25">
      <c r="A46" s="66">
        <v>-3.5021044313907623E-2</v>
      </c>
      <c r="B46" s="66">
        <v>2.5728798229829415E-3</v>
      </c>
      <c r="C46" s="66">
        <v>5.0723562798594315E-2</v>
      </c>
      <c r="D46" s="66" t="s">
        <v>41</v>
      </c>
      <c r="E46" s="68">
        <v>6.7470515603819381</v>
      </c>
      <c r="F46" s="46">
        <v>10</v>
      </c>
      <c r="G46" s="46">
        <v>20</v>
      </c>
      <c r="H46" s="46">
        <v>20</v>
      </c>
      <c r="I46" s="46">
        <v>30</v>
      </c>
      <c r="J46" s="46">
        <v>10</v>
      </c>
      <c r="K46" s="46">
        <v>10</v>
      </c>
      <c r="L46" s="46">
        <v>0</v>
      </c>
      <c r="M46" s="46">
        <v>0</v>
      </c>
      <c r="N46" s="46">
        <v>0</v>
      </c>
      <c r="O46" s="60">
        <v>0</v>
      </c>
      <c r="P46" s="46"/>
    </row>
    <row r="47" spans="1:16" x14ac:dyDescent="0.25">
      <c r="A47" s="66">
        <v>-3.3669937402009964E-2</v>
      </c>
      <c r="B47" s="66">
        <v>2.4730907258344818E-3</v>
      </c>
      <c r="C47" s="66">
        <v>4.9730179225843149E-2</v>
      </c>
      <c r="D47" s="66" t="s">
        <v>41</v>
      </c>
      <c r="E47" s="66">
        <v>5.8168441637857988</v>
      </c>
      <c r="F47" s="46">
        <v>10</v>
      </c>
      <c r="G47" s="46">
        <v>20</v>
      </c>
      <c r="H47" s="46">
        <v>20</v>
      </c>
      <c r="I47" s="46">
        <v>25</v>
      </c>
      <c r="J47" s="46">
        <v>20</v>
      </c>
      <c r="K47" s="46">
        <v>5</v>
      </c>
      <c r="L47" s="46">
        <v>0</v>
      </c>
      <c r="M47" s="46">
        <v>0</v>
      </c>
      <c r="N47" s="46">
        <v>0</v>
      </c>
      <c r="O47" s="60">
        <v>0</v>
      </c>
      <c r="P47" s="46"/>
    </row>
    <row r="48" spans="1:16" x14ac:dyDescent="0.25">
      <c r="A48" s="66">
        <v>-3.2543063163757324E-2</v>
      </c>
      <c r="B48" s="66">
        <v>2.3843912487791388E-3</v>
      </c>
      <c r="C48" s="66">
        <v>4.8830228842174583E-2</v>
      </c>
      <c r="D48" s="66" t="s">
        <v>41</v>
      </c>
      <c r="E48" s="66">
        <v>4.8832752250904043</v>
      </c>
      <c r="F48" s="46">
        <v>10</v>
      </c>
      <c r="G48" s="46">
        <v>15</v>
      </c>
      <c r="H48" s="46">
        <v>20</v>
      </c>
      <c r="I48" s="46">
        <v>35</v>
      </c>
      <c r="J48" s="46">
        <v>5</v>
      </c>
      <c r="K48" s="46">
        <v>15</v>
      </c>
      <c r="L48" s="46">
        <v>0</v>
      </c>
      <c r="M48" s="46">
        <v>0</v>
      </c>
      <c r="N48" s="46">
        <v>0</v>
      </c>
      <c r="O48" s="60">
        <v>0</v>
      </c>
      <c r="P48" s="46"/>
    </row>
    <row r="49" spans="1:16" x14ac:dyDescent="0.25">
      <c r="A49" s="66">
        <v>-3.1758271157741547E-2</v>
      </c>
      <c r="B49" s="66">
        <v>2.2640652617337766E-3</v>
      </c>
      <c r="C49" s="66">
        <v>4.7582194797358569E-2</v>
      </c>
      <c r="D49" s="66" t="s">
        <v>41</v>
      </c>
      <c r="E49" s="68">
        <v>6.0007926700541976</v>
      </c>
      <c r="F49" s="46">
        <v>10</v>
      </c>
      <c r="G49" s="46">
        <v>15</v>
      </c>
      <c r="H49" s="46">
        <v>25</v>
      </c>
      <c r="I49" s="46">
        <v>25</v>
      </c>
      <c r="J49" s="46">
        <v>15</v>
      </c>
      <c r="K49" s="46">
        <v>10</v>
      </c>
      <c r="L49" s="46">
        <v>0</v>
      </c>
      <c r="M49" s="46">
        <v>0</v>
      </c>
      <c r="N49" s="46">
        <v>0</v>
      </c>
      <c r="O49" s="60">
        <v>0</v>
      </c>
      <c r="P49" s="46"/>
    </row>
    <row r="50" spans="1:16" x14ac:dyDescent="0.25">
      <c r="A50" s="67">
        <v>-3.0811866745352745E-2</v>
      </c>
      <c r="B50" s="67">
        <v>2.2007602927624249E-3</v>
      </c>
      <c r="C50" s="67">
        <v>4.6912261646209562E-2</v>
      </c>
      <c r="D50" s="67" t="s">
        <v>41</v>
      </c>
      <c r="E50" s="71">
        <v>6.0592569440251118</v>
      </c>
      <c r="F50" s="57">
        <v>10</v>
      </c>
      <c r="G50" s="57">
        <v>15</v>
      </c>
      <c r="H50" s="57">
        <v>20</v>
      </c>
      <c r="I50" s="57">
        <v>30</v>
      </c>
      <c r="J50" s="57">
        <v>10</v>
      </c>
      <c r="K50" s="57">
        <v>15</v>
      </c>
      <c r="L50" s="57">
        <v>0</v>
      </c>
      <c r="M50" s="57">
        <v>0</v>
      </c>
      <c r="N50" s="57">
        <v>0</v>
      </c>
      <c r="O50" s="61">
        <v>0</v>
      </c>
      <c r="P50" s="46"/>
    </row>
    <row r="51" spans="1:16" x14ac:dyDescent="0.25">
      <c r="A51" s="66">
        <v>-2.9706984758377075E-2</v>
      </c>
      <c r="B51" s="66">
        <v>2.1049117527581988E-3</v>
      </c>
      <c r="C51" s="66">
        <v>4.587931726560672E-2</v>
      </c>
      <c r="D51" s="66" t="s">
        <v>41</v>
      </c>
      <c r="E51" s="66">
        <v>3.7481352005888806</v>
      </c>
      <c r="F51" s="46">
        <v>10</v>
      </c>
      <c r="G51" s="46">
        <v>15</v>
      </c>
      <c r="H51" s="46">
        <v>25</v>
      </c>
      <c r="I51" s="46">
        <v>25</v>
      </c>
      <c r="J51" s="46">
        <v>10</v>
      </c>
      <c r="K51" s="46">
        <v>10</v>
      </c>
      <c r="L51" s="46">
        <v>0</v>
      </c>
      <c r="M51" s="46">
        <v>5</v>
      </c>
      <c r="N51" s="46">
        <v>0</v>
      </c>
      <c r="O51" s="60">
        <v>0</v>
      </c>
      <c r="P51" s="46"/>
    </row>
    <row r="52" spans="1:16" x14ac:dyDescent="0.25">
      <c r="A52" s="66">
        <v>-2.8514357283711433E-2</v>
      </c>
      <c r="B52" s="66">
        <v>2.049952016932366E-3</v>
      </c>
      <c r="C52" s="66">
        <v>4.5276395803247924E-2</v>
      </c>
      <c r="D52" s="66" t="s">
        <v>41</v>
      </c>
      <c r="E52" s="66">
        <v>4.6335443221512289</v>
      </c>
      <c r="F52" s="46">
        <v>10</v>
      </c>
      <c r="G52" s="46">
        <v>15</v>
      </c>
      <c r="H52" s="46">
        <v>15</v>
      </c>
      <c r="I52" s="46">
        <v>30</v>
      </c>
      <c r="J52" s="46">
        <v>15</v>
      </c>
      <c r="K52" s="46">
        <v>15</v>
      </c>
      <c r="L52" s="46">
        <v>0</v>
      </c>
      <c r="M52" s="46">
        <v>0</v>
      </c>
      <c r="N52" s="46">
        <v>0</v>
      </c>
      <c r="O52" s="60">
        <v>0</v>
      </c>
      <c r="P52" s="46"/>
    </row>
    <row r="53" spans="1:16" x14ac:dyDescent="0.25">
      <c r="A53" s="66">
        <v>-2.7729567140340805E-2</v>
      </c>
      <c r="B53" s="66">
        <v>1.9785478511766996E-3</v>
      </c>
      <c r="C53" s="66">
        <v>4.4480870620714021E-2</v>
      </c>
      <c r="D53" s="66" t="s">
        <v>41</v>
      </c>
      <c r="E53" s="66">
        <v>4.909352191716243</v>
      </c>
      <c r="F53" s="46">
        <v>10</v>
      </c>
      <c r="G53" s="46">
        <v>15</v>
      </c>
      <c r="H53" s="46">
        <v>20</v>
      </c>
      <c r="I53" s="46">
        <v>20</v>
      </c>
      <c r="J53" s="46">
        <v>25</v>
      </c>
      <c r="K53" s="46">
        <v>10</v>
      </c>
      <c r="L53" s="46">
        <v>0</v>
      </c>
      <c r="M53" s="46">
        <v>0</v>
      </c>
      <c r="N53" s="46">
        <v>0</v>
      </c>
      <c r="O53" s="60">
        <v>0</v>
      </c>
      <c r="P53" s="46"/>
    </row>
    <row r="54" spans="1:16" x14ac:dyDescent="0.25">
      <c r="A54" s="66">
        <v>-2.6783162727952003E-2</v>
      </c>
      <c r="B54" s="66">
        <v>1.9325432777986861E-3</v>
      </c>
      <c r="C54" s="66">
        <v>4.3960701516225671E-2</v>
      </c>
      <c r="D54" s="66" t="s">
        <v>41</v>
      </c>
      <c r="E54" s="66">
        <v>4.9459205773379935</v>
      </c>
      <c r="F54" s="46">
        <v>10</v>
      </c>
      <c r="G54" s="46">
        <v>15</v>
      </c>
      <c r="H54" s="46">
        <v>15</v>
      </c>
      <c r="I54" s="46">
        <v>25</v>
      </c>
      <c r="J54" s="46">
        <v>20</v>
      </c>
      <c r="K54" s="46">
        <v>15</v>
      </c>
      <c r="L54" s="46">
        <v>0</v>
      </c>
      <c r="M54" s="46">
        <v>0</v>
      </c>
      <c r="N54" s="46">
        <v>0</v>
      </c>
      <c r="O54" s="60">
        <v>0</v>
      </c>
      <c r="P54" s="46"/>
    </row>
    <row r="55" spans="1:16" x14ac:dyDescent="0.25">
      <c r="A55" s="67">
        <v>-2.5678280740976334E-2</v>
      </c>
      <c r="B55" s="67">
        <v>1.8454922956880186E-3</v>
      </c>
      <c r="C55" s="67">
        <v>4.2959193377995572E-2</v>
      </c>
      <c r="D55" s="67" t="s">
        <v>41</v>
      </c>
      <c r="E55" s="67">
        <v>2.8489447211172938</v>
      </c>
      <c r="F55" s="57">
        <v>10</v>
      </c>
      <c r="G55" s="57">
        <v>15</v>
      </c>
      <c r="H55" s="57">
        <v>20</v>
      </c>
      <c r="I55" s="57">
        <v>20</v>
      </c>
      <c r="J55" s="57">
        <v>20</v>
      </c>
      <c r="K55" s="57">
        <v>10</v>
      </c>
      <c r="L55" s="57">
        <v>0</v>
      </c>
      <c r="M55" s="57">
        <v>5</v>
      </c>
      <c r="N55" s="57">
        <v>0</v>
      </c>
      <c r="O55" s="61">
        <v>0</v>
      </c>
      <c r="P55" s="46"/>
    </row>
    <row r="56" spans="1:16" x14ac:dyDescent="0.25">
      <c r="A56" s="66">
        <v>-2.5111967697739601E-2</v>
      </c>
      <c r="B56" s="66">
        <v>1.8267516777268611E-3</v>
      </c>
      <c r="C56" s="66">
        <v>4.2740515646478357E-2</v>
      </c>
      <c r="D56" s="66" t="s">
        <v>41</v>
      </c>
      <c r="E56" s="66">
        <v>2.4446173064191199</v>
      </c>
      <c r="F56" s="46">
        <v>10</v>
      </c>
      <c r="G56" s="46">
        <v>15</v>
      </c>
      <c r="H56" s="46">
        <v>15</v>
      </c>
      <c r="I56" s="46">
        <v>25</v>
      </c>
      <c r="J56" s="46">
        <v>20</v>
      </c>
      <c r="K56" s="46">
        <v>10</v>
      </c>
      <c r="L56" s="46">
        <v>0</v>
      </c>
      <c r="M56" s="46">
        <v>5</v>
      </c>
      <c r="N56" s="46">
        <v>0</v>
      </c>
      <c r="O56" s="60">
        <v>0</v>
      </c>
      <c r="P56" s="46"/>
    </row>
    <row r="57" spans="1:16" x14ac:dyDescent="0.25">
      <c r="A57" s="66">
        <v>-2.3580390959978104E-2</v>
      </c>
      <c r="B57" s="66">
        <v>1.727101423311979E-3</v>
      </c>
      <c r="C57" s="66">
        <v>4.1558409778430873E-2</v>
      </c>
      <c r="D57" s="66" t="s">
        <v>41</v>
      </c>
      <c r="E57" s="66">
        <v>2.1320187753608915</v>
      </c>
      <c r="F57" s="46">
        <v>10</v>
      </c>
      <c r="G57" s="46">
        <v>10</v>
      </c>
      <c r="H57" s="46">
        <v>20</v>
      </c>
      <c r="I57" s="46">
        <v>25</v>
      </c>
      <c r="J57" s="46">
        <v>20</v>
      </c>
      <c r="K57" s="46">
        <v>10</v>
      </c>
      <c r="L57" s="46">
        <v>0</v>
      </c>
      <c r="M57" s="46">
        <v>5</v>
      </c>
      <c r="N57" s="46">
        <v>0</v>
      </c>
      <c r="O57" s="60">
        <v>0</v>
      </c>
      <c r="P57" s="46"/>
    </row>
    <row r="58" spans="1:16" x14ac:dyDescent="0.25">
      <c r="A58" s="66">
        <v>-2.3200299590826035E-2</v>
      </c>
      <c r="B58" s="66">
        <v>1.7142200442322073E-3</v>
      </c>
      <c r="C58" s="66">
        <v>4.1403140511707653E-2</v>
      </c>
      <c r="D58" s="66" t="s">
        <v>41</v>
      </c>
      <c r="E58" s="66">
        <v>1.9508865607830357</v>
      </c>
      <c r="F58" s="46">
        <v>10</v>
      </c>
      <c r="G58" s="46">
        <v>10</v>
      </c>
      <c r="H58" s="46">
        <v>20</v>
      </c>
      <c r="I58" s="46">
        <v>25</v>
      </c>
      <c r="J58" s="46">
        <v>15</v>
      </c>
      <c r="K58" s="46">
        <v>15</v>
      </c>
      <c r="L58" s="46">
        <v>0</v>
      </c>
      <c r="M58" s="46">
        <v>5</v>
      </c>
      <c r="N58" s="46">
        <v>0</v>
      </c>
      <c r="O58" s="60">
        <v>0</v>
      </c>
      <c r="P58" s="46"/>
    </row>
    <row r="59" spans="1:16" x14ac:dyDescent="0.25">
      <c r="A59" s="66">
        <v>-2.1849196404218674E-2</v>
      </c>
      <c r="B59" s="66">
        <v>1.6435004984668925E-3</v>
      </c>
      <c r="C59" s="66">
        <v>4.0540109749073107E-2</v>
      </c>
      <c r="D59" s="66" t="s">
        <v>41</v>
      </c>
      <c r="E59" s="66">
        <v>2.0313455800351155</v>
      </c>
      <c r="F59" s="46">
        <v>10</v>
      </c>
      <c r="G59" s="46">
        <v>10</v>
      </c>
      <c r="H59" s="46">
        <v>20</v>
      </c>
      <c r="I59" s="46">
        <v>20</v>
      </c>
      <c r="J59" s="46">
        <v>25</v>
      </c>
      <c r="K59" s="46">
        <v>10</v>
      </c>
      <c r="L59" s="46">
        <v>0</v>
      </c>
      <c r="M59" s="46">
        <v>5</v>
      </c>
      <c r="N59" s="46">
        <v>0</v>
      </c>
      <c r="O59" s="60">
        <v>0</v>
      </c>
      <c r="P59" s="46"/>
    </row>
    <row r="60" spans="1:16" x14ac:dyDescent="0.25">
      <c r="A60" s="67">
        <v>-2.0902791991829872E-2</v>
      </c>
      <c r="B60" s="67">
        <v>1.6250612799194647E-3</v>
      </c>
      <c r="C60" s="67">
        <v>4.0312048818181699E-2</v>
      </c>
      <c r="D60" s="67" t="s">
        <v>41</v>
      </c>
      <c r="E60" s="67">
        <v>1.3274148307461329</v>
      </c>
      <c r="F60" s="57">
        <v>10</v>
      </c>
      <c r="G60" s="57">
        <v>10</v>
      </c>
      <c r="H60" s="57">
        <v>15</v>
      </c>
      <c r="I60" s="57">
        <v>25</v>
      </c>
      <c r="J60" s="57">
        <v>20</v>
      </c>
      <c r="K60" s="57">
        <v>15</v>
      </c>
      <c r="L60" s="57">
        <v>0</v>
      </c>
      <c r="M60" s="57">
        <v>5</v>
      </c>
      <c r="N60" s="57">
        <v>0</v>
      </c>
      <c r="O60" s="61">
        <v>0</v>
      </c>
      <c r="P60" s="46"/>
    </row>
    <row r="61" spans="1:16" x14ac:dyDescent="0.25">
      <c r="A61" s="66">
        <v>-1.9513560459017754E-2</v>
      </c>
      <c r="B61" s="66">
        <v>1.5428516906104055E-3</v>
      </c>
      <c r="C61" s="66">
        <v>3.9279150838713472E-2</v>
      </c>
      <c r="D61" s="66" t="s">
        <v>41</v>
      </c>
      <c r="E61" s="66">
        <v>1.0784681612687674</v>
      </c>
      <c r="F61" s="46">
        <v>5</v>
      </c>
      <c r="G61" s="46">
        <v>10</v>
      </c>
      <c r="H61" s="46">
        <v>20</v>
      </c>
      <c r="I61" s="46">
        <v>25</v>
      </c>
      <c r="J61" s="46">
        <v>20</v>
      </c>
      <c r="K61" s="46">
        <v>15</v>
      </c>
      <c r="L61" s="46">
        <v>0</v>
      </c>
      <c r="M61" s="46">
        <v>5</v>
      </c>
      <c r="N61" s="46">
        <v>0</v>
      </c>
      <c r="O61" s="60">
        <v>0</v>
      </c>
      <c r="P61" s="46"/>
    </row>
    <row r="62" spans="1:16" x14ac:dyDescent="0.25">
      <c r="A62" s="66">
        <v>-1.759614422917366E-2</v>
      </c>
      <c r="B62" s="66">
        <v>1.476598691660911E-3</v>
      </c>
      <c r="C62" s="66">
        <v>3.8426536295389821E-2</v>
      </c>
      <c r="D62" s="66" t="s">
        <v>41</v>
      </c>
      <c r="E62" s="66">
        <v>1.4270637084703139</v>
      </c>
      <c r="F62" s="46">
        <v>5</v>
      </c>
      <c r="G62" s="46">
        <v>10</v>
      </c>
      <c r="H62" s="46">
        <v>15</v>
      </c>
      <c r="I62" s="46">
        <v>25</v>
      </c>
      <c r="J62" s="46">
        <v>30</v>
      </c>
      <c r="K62" s="46">
        <v>10</v>
      </c>
      <c r="L62" s="46">
        <v>0</v>
      </c>
      <c r="M62" s="46">
        <v>5</v>
      </c>
      <c r="N62" s="46">
        <v>0</v>
      </c>
      <c r="O62" s="60">
        <v>0</v>
      </c>
      <c r="P62" s="46"/>
    </row>
    <row r="63" spans="1:16" x14ac:dyDescent="0.25">
      <c r="A63" s="66">
        <v>-1.7216052860021591E-2</v>
      </c>
      <c r="B63" s="66">
        <v>1.4647134343613291E-3</v>
      </c>
      <c r="C63" s="66">
        <v>3.8271574756747716E-2</v>
      </c>
      <c r="D63" s="66" t="s">
        <v>41</v>
      </c>
      <c r="E63" s="66">
        <v>0.76509398978553234</v>
      </c>
      <c r="F63" s="46">
        <v>5</v>
      </c>
      <c r="G63" s="46">
        <v>10</v>
      </c>
      <c r="H63" s="46">
        <v>15</v>
      </c>
      <c r="I63" s="46">
        <v>25</v>
      </c>
      <c r="J63" s="46">
        <v>25</v>
      </c>
      <c r="K63" s="46">
        <v>15</v>
      </c>
      <c r="L63" s="46">
        <v>0</v>
      </c>
      <c r="M63" s="46">
        <v>5</v>
      </c>
      <c r="N63" s="46">
        <v>0</v>
      </c>
      <c r="O63" s="60">
        <v>0</v>
      </c>
      <c r="P63" s="46"/>
    </row>
    <row r="64" spans="1:16" x14ac:dyDescent="0.25">
      <c r="A64" s="66">
        <v>-1.5864947810769081E-2</v>
      </c>
      <c r="B64" s="66">
        <v>1.4340984219234092E-3</v>
      </c>
      <c r="C64" s="66">
        <v>3.7869491968118729E-2</v>
      </c>
      <c r="D64" s="66" t="s">
        <v>41</v>
      </c>
      <c r="E64" s="66">
        <v>0.99956935964757343</v>
      </c>
      <c r="F64" s="46">
        <v>5</v>
      </c>
      <c r="G64" s="46">
        <v>10</v>
      </c>
      <c r="H64" s="46">
        <v>15</v>
      </c>
      <c r="I64" s="46">
        <v>20</v>
      </c>
      <c r="J64" s="46">
        <v>35</v>
      </c>
      <c r="K64" s="46">
        <v>10</v>
      </c>
      <c r="L64" s="46">
        <v>0</v>
      </c>
      <c r="M64" s="46">
        <v>5</v>
      </c>
      <c r="N64" s="46">
        <v>0</v>
      </c>
      <c r="O64" s="60">
        <v>0</v>
      </c>
      <c r="P64" s="46"/>
    </row>
    <row r="65" spans="1:16" x14ac:dyDescent="0.25">
      <c r="A65" s="67">
        <v>-1.5484857372939587E-2</v>
      </c>
      <c r="B65" s="67">
        <v>1.4208001049701127E-3</v>
      </c>
      <c r="C65" s="67">
        <v>3.7693502158463767E-2</v>
      </c>
      <c r="D65" s="67" t="s">
        <v>41</v>
      </c>
      <c r="E65" s="67">
        <v>0.49668650404796039</v>
      </c>
      <c r="F65" s="57">
        <v>5</v>
      </c>
      <c r="G65" s="57">
        <v>10</v>
      </c>
      <c r="H65" s="57">
        <v>15</v>
      </c>
      <c r="I65" s="57">
        <v>20</v>
      </c>
      <c r="J65" s="57">
        <v>30</v>
      </c>
      <c r="K65" s="57">
        <v>15</v>
      </c>
      <c r="L65" s="57">
        <v>0</v>
      </c>
      <c r="M65" s="57">
        <v>5</v>
      </c>
      <c r="N65" s="57">
        <v>0</v>
      </c>
      <c r="O65" s="61">
        <v>0</v>
      </c>
      <c r="P65" s="46"/>
    </row>
    <row r="66" spans="1:16" x14ac:dyDescent="0.25">
      <c r="A66" s="66">
        <v>-1.1655772104859352E-2</v>
      </c>
      <c r="B66" s="66">
        <v>1.3837802238776933E-3</v>
      </c>
      <c r="C66" s="66">
        <v>3.7199196548819348E-2</v>
      </c>
      <c r="D66" s="66" t="s">
        <v>41</v>
      </c>
      <c r="E66" s="66">
        <v>0.56366745434037369</v>
      </c>
      <c r="F66" s="46">
        <v>5</v>
      </c>
      <c r="G66" s="46">
        <v>5</v>
      </c>
      <c r="H66" s="46">
        <v>15</v>
      </c>
      <c r="I66" s="46">
        <v>20</v>
      </c>
      <c r="J66" s="46">
        <v>35</v>
      </c>
      <c r="K66" s="46">
        <v>15</v>
      </c>
      <c r="L66" s="46">
        <v>0</v>
      </c>
      <c r="M66" s="46">
        <v>5</v>
      </c>
      <c r="N66" s="46">
        <v>0</v>
      </c>
      <c r="O66" s="60">
        <v>0</v>
      </c>
      <c r="P66" s="46"/>
    </row>
    <row r="67" spans="1:16" x14ac:dyDescent="0.25">
      <c r="A67" s="66">
        <v>-7.7321045100688934E-3</v>
      </c>
      <c r="B67" s="66">
        <v>1.3797414308646695E-3</v>
      </c>
      <c r="C67" s="66">
        <v>3.7144870855404376E-2</v>
      </c>
      <c r="D67" s="66" t="s">
        <v>41</v>
      </c>
      <c r="E67" s="66">
        <v>0.70660106636144138</v>
      </c>
      <c r="F67" s="46">
        <v>5</v>
      </c>
      <c r="G67" s="46">
        <v>10</v>
      </c>
      <c r="H67" s="46">
        <v>15</v>
      </c>
      <c r="I67" s="46">
        <v>15</v>
      </c>
      <c r="J67" s="46">
        <v>30</v>
      </c>
      <c r="K67" s="46">
        <v>15</v>
      </c>
      <c r="L67" s="46">
        <v>0</v>
      </c>
      <c r="M67" s="46">
        <v>5</v>
      </c>
      <c r="N67" s="46">
        <v>0</v>
      </c>
      <c r="O67" s="60">
        <v>5</v>
      </c>
      <c r="P67" s="46"/>
    </row>
    <row r="68" spans="1:16" x14ac:dyDescent="0.25">
      <c r="A68" s="66">
        <v>-7.3654092848300934E-3</v>
      </c>
      <c r="B68" s="66">
        <v>1.3725690901264902E-3</v>
      </c>
      <c r="C68" s="66">
        <v>3.7048199553102311E-2</v>
      </c>
      <c r="D68" s="66" t="s">
        <v>41</v>
      </c>
      <c r="E68" s="66">
        <v>1.1410231970313711</v>
      </c>
      <c r="F68" s="46">
        <v>5</v>
      </c>
      <c r="G68" s="46">
        <v>5</v>
      </c>
      <c r="H68" s="46">
        <v>15</v>
      </c>
      <c r="I68" s="46">
        <v>25</v>
      </c>
      <c r="J68" s="46">
        <v>25</v>
      </c>
      <c r="K68" s="46">
        <v>15</v>
      </c>
      <c r="L68" s="46">
        <v>0</v>
      </c>
      <c r="M68" s="46">
        <v>5</v>
      </c>
      <c r="N68" s="46">
        <v>0</v>
      </c>
      <c r="O68" s="60">
        <v>5</v>
      </c>
      <c r="P68" s="46"/>
    </row>
    <row r="69" spans="1:16" x14ac:dyDescent="0.25">
      <c r="A69" s="66">
        <v>-5.6342137977480888E-3</v>
      </c>
      <c r="B69" s="66">
        <v>1.3021734612993897E-3</v>
      </c>
      <c r="C69" s="66">
        <v>3.6085640652472689E-2</v>
      </c>
      <c r="D69" s="66" t="s">
        <v>41</v>
      </c>
      <c r="E69" s="66">
        <v>1.1552361760604792</v>
      </c>
      <c r="F69" s="46">
        <v>5</v>
      </c>
      <c r="G69" s="46">
        <v>5</v>
      </c>
      <c r="H69" s="46">
        <v>15</v>
      </c>
      <c r="I69" s="46">
        <v>20</v>
      </c>
      <c r="J69" s="46">
        <v>30</v>
      </c>
      <c r="K69" s="46">
        <v>15</v>
      </c>
      <c r="L69" s="46">
        <v>0</v>
      </c>
      <c r="M69" s="46">
        <v>5</v>
      </c>
      <c r="N69" s="46">
        <v>0</v>
      </c>
      <c r="O69" s="60">
        <v>5</v>
      </c>
      <c r="P69" s="46"/>
    </row>
    <row r="70" spans="1:16" x14ac:dyDescent="0.25">
      <c r="A70" s="67">
        <v>-3.9030187763273716E-3</v>
      </c>
      <c r="B70" s="67">
        <v>1.276367457212473E-3</v>
      </c>
      <c r="C70" s="67">
        <v>3.5726285242276071E-2</v>
      </c>
      <c r="D70" s="67" t="s">
        <v>41</v>
      </c>
      <c r="E70" s="67">
        <v>0.91136499459582876</v>
      </c>
      <c r="F70" s="57">
        <v>5</v>
      </c>
      <c r="G70" s="57">
        <v>5</v>
      </c>
      <c r="H70" s="57">
        <v>15</v>
      </c>
      <c r="I70" s="57">
        <v>15</v>
      </c>
      <c r="J70" s="57">
        <v>35</v>
      </c>
      <c r="K70" s="57">
        <v>15</v>
      </c>
      <c r="L70" s="57">
        <v>0</v>
      </c>
      <c r="M70" s="57">
        <v>5</v>
      </c>
      <c r="N70" s="57">
        <v>0</v>
      </c>
      <c r="O70" s="61">
        <v>5</v>
      </c>
      <c r="P70" s="46"/>
    </row>
    <row r="71" spans="1:16" x14ac:dyDescent="0.25">
      <c r="A71" s="66">
        <v>-1.6055104788392782E-3</v>
      </c>
      <c r="B71" s="66">
        <v>1.2841063899395526E-3</v>
      </c>
      <c r="C71" s="66">
        <v>3.583443023042996E-2</v>
      </c>
      <c r="D71" s="66" t="s">
        <v>41</v>
      </c>
      <c r="E71" s="66">
        <v>0.70921226460511599</v>
      </c>
      <c r="F71" s="46">
        <v>5</v>
      </c>
      <c r="G71" s="46">
        <v>5</v>
      </c>
      <c r="H71" s="46">
        <v>10</v>
      </c>
      <c r="I71" s="46">
        <v>15</v>
      </c>
      <c r="J71" s="46">
        <v>40</v>
      </c>
      <c r="K71" s="46">
        <v>15</v>
      </c>
      <c r="L71" s="46">
        <v>0</v>
      </c>
      <c r="M71" s="46">
        <v>5</v>
      </c>
      <c r="N71" s="46">
        <v>0</v>
      </c>
      <c r="O71" s="60">
        <v>5</v>
      </c>
      <c r="P71" s="46"/>
    </row>
    <row r="72" spans="1:16" x14ac:dyDescent="0.25">
      <c r="A72" s="66">
        <v>-1.2254194589331746E-3</v>
      </c>
      <c r="B72" s="66">
        <v>1.2888990109058797E-3</v>
      </c>
      <c r="C72" s="66">
        <v>3.5901239684805866E-2</v>
      </c>
      <c r="D72" s="66" t="s">
        <v>41</v>
      </c>
      <c r="E72" s="66">
        <v>0.46864225827297529</v>
      </c>
      <c r="F72" s="46">
        <v>5</v>
      </c>
      <c r="G72" s="46">
        <v>5</v>
      </c>
      <c r="H72" s="46">
        <v>10</v>
      </c>
      <c r="I72" s="46">
        <v>15</v>
      </c>
      <c r="J72" s="46">
        <v>35</v>
      </c>
      <c r="K72" s="46">
        <v>20</v>
      </c>
      <c r="L72" s="46">
        <v>0</v>
      </c>
      <c r="M72" s="46">
        <v>5</v>
      </c>
      <c r="N72" s="46">
        <v>0</v>
      </c>
      <c r="O72" s="60">
        <v>5</v>
      </c>
      <c r="P72" s="46"/>
    </row>
    <row r="73" spans="1:16" x14ac:dyDescent="0.25">
      <c r="A73" s="66">
        <v>-3.769857285078615E-4</v>
      </c>
      <c r="B73" s="66">
        <v>1.3243623214657422E-3</v>
      </c>
      <c r="C73" s="66">
        <v>3.6391789203963881E-2</v>
      </c>
      <c r="D73" s="66" t="s">
        <v>41</v>
      </c>
      <c r="E73" s="66">
        <v>0.69748954675841202</v>
      </c>
      <c r="F73" s="46">
        <v>5</v>
      </c>
      <c r="G73" s="46">
        <v>5</v>
      </c>
      <c r="H73" s="46">
        <v>10</v>
      </c>
      <c r="I73" s="46">
        <v>15</v>
      </c>
      <c r="J73" s="46">
        <v>30</v>
      </c>
      <c r="K73" s="46">
        <v>20</v>
      </c>
      <c r="L73" s="46">
        <v>5</v>
      </c>
      <c r="M73" s="46">
        <v>5</v>
      </c>
      <c r="N73" s="46">
        <v>0</v>
      </c>
      <c r="O73" s="60">
        <v>5</v>
      </c>
      <c r="P73" s="46"/>
    </row>
    <row r="74" spans="1:16" x14ac:dyDescent="0.25">
      <c r="A74" s="66">
        <v>5.0577579531818628E-4</v>
      </c>
      <c r="B74" s="66">
        <v>1.3279021640482829E-3</v>
      </c>
      <c r="C74" s="66">
        <v>3.6440391930497716E-2</v>
      </c>
      <c r="D74" s="66" t="s">
        <v>41</v>
      </c>
      <c r="E74" s="66">
        <v>0.22424782424001982</v>
      </c>
      <c r="F74" s="46">
        <v>5</v>
      </c>
      <c r="G74" s="46">
        <v>5</v>
      </c>
      <c r="H74" s="46">
        <v>10</v>
      </c>
      <c r="I74" s="46">
        <v>10</v>
      </c>
      <c r="J74" s="46">
        <v>40</v>
      </c>
      <c r="K74" s="46">
        <v>20</v>
      </c>
      <c r="L74" s="46">
        <v>0</v>
      </c>
      <c r="M74" s="46">
        <v>5</v>
      </c>
      <c r="N74" s="46">
        <v>0</v>
      </c>
      <c r="O74" s="60">
        <v>5</v>
      </c>
      <c r="P74" s="46"/>
    </row>
    <row r="75" spans="1:16" x14ac:dyDescent="0.25">
      <c r="A75" s="67">
        <v>2.1476962137967348E-3</v>
      </c>
      <c r="B75" s="67">
        <v>1.3396020785876317E-3</v>
      </c>
      <c r="C75" s="67">
        <v>3.6600574839579111E-2</v>
      </c>
      <c r="D75" s="67" t="s">
        <v>41</v>
      </c>
      <c r="E75" s="67">
        <v>1.1784000114841611</v>
      </c>
      <c r="F75" s="57">
        <v>5</v>
      </c>
      <c r="G75" s="57">
        <v>5</v>
      </c>
      <c r="H75" s="57">
        <v>10</v>
      </c>
      <c r="I75" s="57">
        <v>15</v>
      </c>
      <c r="J75" s="57">
        <v>35</v>
      </c>
      <c r="K75" s="57">
        <v>15</v>
      </c>
      <c r="L75" s="57">
        <v>0</v>
      </c>
      <c r="M75" s="57">
        <v>5</v>
      </c>
      <c r="N75" s="57">
        <v>5</v>
      </c>
      <c r="O75" s="61">
        <v>5</v>
      </c>
      <c r="P75" s="46"/>
    </row>
    <row r="76" spans="1:16" x14ac:dyDescent="0.25">
      <c r="A76" s="66">
        <v>2.5277873501181602E-3</v>
      </c>
      <c r="B76" s="66">
        <v>1.3603794539812954E-3</v>
      </c>
      <c r="C76" s="66">
        <v>3.6883322165733597E-2</v>
      </c>
      <c r="D76" s="66" t="s">
        <v>41</v>
      </c>
      <c r="E76" s="66">
        <v>0.92754319496245974</v>
      </c>
      <c r="F76" s="46">
        <v>5</v>
      </c>
      <c r="G76" s="46">
        <v>5</v>
      </c>
      <c r="H76" s="46">
        <v>10</v>
      </c>
      <c r="I76" s="46">
        <v>15</v>
      </c>
      <c r="J76" s="46">
        <v>30</v>
      </c>
      <c r="K76" s="46">
        <v>20</v>
      </c>
      <c r="L76" s="46">
        <v>0</v>
      </c>
      <c r="M76" s="46">
        <v>5</v>
      </c>
      <c r="N76" s="46">
        <v>5</v>
      </c>
      <c r="O76" s="60">
        <v>5</v>
      </c>
      <c r="P76" s="46"/>
    </row>
    <row r="77" spans="1:16" x14ac:dyDescent="0.25">
      <c r="A77" s="66">
        <v>3.8788914680480957E-3</v>
      </c>
      <c r="B77" s="66">
        <v>1.3651393806503624E-3</v>
      </c>
      <c r="C77" s="66">
        <v>3.6947792635695607E-2</v>
      </c>
      <c r="D77" s="66" t="s">
        <v>41</v>
      </c>
      <c r="E77" s="66">
        <v>0.94943931904111645</v>
      </c>
      <c r="F77" s="46">
        <v>5</v>
      </c>
      <c r="G77" s="46">
        <v>5</v>
      </c>
      <c r="H77" s="46">
        <v>10</v>
      </c>
      <c r="I77" s="46">
        <v>10</v>
      </c>
      <c r="J77" s="46">
        <v>40</v>
      </c>
      <c r="K77" s="46">
        <v>15</v>
      </c>
      <c r="L77" s="46">
        <v>0</v>
      </c>
      <c r="M77" s="46">
        <v>5</v>
      </c>
      <c r="N77" s="46">
        <v>5</v>
      </c>
      <c r="O77" s="60">
        <v>5</v>
      </c>
      <c r="P77" s="46"/>
    </row>
    <row r="78" spans="1:16" x14ac:dyDescent="0.25">
      <c r="A78" s="66">
        <v>4.727325402200222E-3</v>
      </c>
      <c r="B78" s="66">
        <v>1.3985299830528675E-3</v>
      </c>
      <c r="C78" s="66">
        <v>3.7396924780693765E-2</v>
      </c>
      <c r="D78" s="66" t="s">
        <v>41</v>
      </c>
      <c r="E78" s="66">
        <v>1.3192827373888254</v>
      </c>
      <c r="F78" s="46">
        <v>5</v>
      </c>
      <c r="G78" s="46">
        <v>5</v>
      </c>
      <c r="H78" s="46">
        <v>10</v>
      </c>
      <c r="I78" s="46">
        <v>10</v>
      </c>
      <c r="J78" s="46">
        <v>35</v>
      </c>
      <c r="K78" s="46">
        <v>15</v>
      </c>
      <c r="L78" s="46">
        <v>5</v>
      </c>
      <c r="M78" s="46">
        <v>5</v>
      </c>
      <c r="N78" s="46">
        <v>5</v>
      </c>
      <c r="O78" s="60">
        <v>5</v>
      </c>
      <c r="P78" s="46"/>
    </row>
    <row r="79" spans="1:16" x14ac:dyDescent="0.25">
      <c r="A79" s="66">
        <v>5.7905600406229496E-3</v>
      </c>
      <c r="B79" s="66">
        <v>1.4113248660942192E-3</v>
      </c>
      <c r="C79" s="66">
        <v>3.7567603944012977E-2</v>
      </c>
      <c r="D79" s="66" t="s">
        <v>41</v>
      </c>
      <c r="E79" s="66">
        <v>1.4617183540186622</v>
      </c>
      <c r="F79" s="46">
        <v>5</v>
      </c>
      <c r="G79" s="46">
        <v>0</v>
      </c>
      <c r="H79" s="46">
        <v>15</v>
      </c>
      <c r="I79" s="46">
        <v>10</v>
      </c>
      <c r="J79" s="46">
        <v>35</v>
      </c>
      <c r="K79" s="46">
        <v>20</v>
      </c>
      <c r="L79" s="46">
        <v>0</v>
      </c>
      <c r="M79" s="46">
        <v>5</v>
      </c>
      <c r="N79" s="46">
        <v>5</v>
      </c>
      <c r="O79" s="60">
        <v>5</v>
      </c>
      <c r="P79" s="46"/>
    </row>
    <row r="80" spans="1:16" x14ac:dyDescent="0.25">
      <c r="A80" s="67">
        <v>6.8252156488597393E-3</v>
      </c>
      <c r="B80" s="67">
        <v>1.4236355022148929E-3</v>
      </c>
      <c r="C80" s="67">
        <v>3.7731094633139027E-2</v>
      </c>
      <c r="D80" s="67" t="s">
        <v>41</v>
      </c>
      <c r="E80" s="67">
        <v>1.7813098209922837</v>
      </c>
      <c r="F80" s="57">
        <v>5</v>
      </c>
      <c r="G80" s="57">
        <v>0</v>
      </c>
      <c r="H80" s="57">
        <v>10</v>
      </c>
      <c r="I80" s="57">
        <v>15</v>
      </c>
      <c r="J80" s="57">
        <v>35</v>
      </c>
      <c r="K80" s="57">
        <v>15</v>
      </c>
      <c r="L80" s="57">
        <v>5</v>
      </c>
      <c r="M80" s="57">
        <v>5</v>
      </c>
      <c r="N80" s="57">
        <v>5</v>
      </c>
      <c r="O80" s="61">
        <v>5</v>
      </c>
      <c r="P80" s="46"/>
    </row>
    <row r="81" spans="1:16" x14ac:dyDescent="0.25">
      <c r="A81" s="66">
        <v>7.7079772017896175E-3</v>
      </c>
      <c r="B81" s="66">
        <v>1.4417200253956253E-3</v>
      </c>
      <c r="C81" s="66">
        <v>3.7969988482953548E-2</v>
      </c>
      <c r="D81" s="66" t="s">
        <v>41</v>
      </c>
      <c r="E81" s="66">
        <v>1.5788006416127747</v>
      </c>
      <c r="F81" s="46">
        <v>5</v>
      </c>
      <c r="G81" s="46">
        <v>0</v>
      </c>
      <c r="H81" s="46">
        <v>10</v>
      </c>
      <c r="I81" s="46">
        <v>10</v>
      </c>
      <c r="J81" s="46">
        <v>45</v>
      </c>
      <c r="K81" s="46">
        <v>15</v>
      </c>
      <c r="L81" s="46">
        <v>0</v>
      </c>
      <c r="M81" s="46">
        <v>5</v>
      </c>
      <c r="N81" s="46">
        <v>5</v>
      </c>
      <c r="O81" s="60">
        <v>5</v>
      </c>
      <c r="P81" s="46"/>
    </row>
    <row r="82" spans="1:16" x14ac:dyDescent="0.25">
      <c r="A82" s="66">
        <v>8.5564106702804565E-3</v>
      </c>
      <c r="B82" s="66">
        <v>1.4451987958454997E-3</v>
      </c>
      <c r="C82" s="66">
        <v>3.8015770357122843E-2</v>
      </c>
      <c r="D82" s="66" t="s">
        <v>41</v>
      </c>
      <c r="E82" s="66">
        <v>1.801607665888348</v>
      </c>
      <c r="F82" s="46">
        <v>5</v>
      </c>
      <c r="G82" s="46">
        <v>0</v>
      </c>
      <c r="H82" s="46">
        <v>10</v>
      </c>
      <c r="I82" s="46">
        <v>10</v>
      </c>
      <c r="J82" s="46">
        <v>40</v>
      </c>
      <c r="K82" s="46">
        <v>15</v>
      </c>
      <c r="L82" s="46">
        <v>5</v>
      </c>
      <c r="M82" s="46">
        <v>5</v>
      </c>
      <c r="N82" s="46">
        <v>5</v>
      </c>
      <c r="O82" s="60">
        <v>5</v>
      </c>
      <c r="P82" s="46"/>
    </row>
    <row r="83" spans="1:16" x14ac:dyDescent="0.25">
      <c r="A83" s="66">
        <v>9.5028150826692581E-3</v>
      </c>
      <c r="B83" s="66">
        <v>1.506693220399029E-3</v>
      </c>
      <c r="C83" s="66">
        <v>3.8816146387798844E-2</v>
      </c>
      <c r="D83" s="66" t="s">
        <v>41</v>
      </c>
      <c r="E83" s="66">
        <v>1.3970626376433823</v>
      </c>
      <c r="F83" s="46">
        <v>5</v>
      </c>
      <c r="G83" s="46">
        <v>0</v>
      </c>
      <c r="H83" s="46">
        <v>5</v>
      </c>
      <c r="I83" s="46">
        <v>15</v>
      </c>
      <c r="J83" s="46">
        <v>35</v>
      </c>
      <c r="K83" s="46">
        <v>20</v>
      </c>
      <c r="L83" s="46">
        <v>5</v>
      </c>
      <c r="M83" s="46">
        <v>5</v>
      </c>
      <c r="N83" s="46">
        <v>5</v>
      </c>
      <c r="O83" s="60">
        <v>5</v>
      </c>
      <c r="P83" s="46"/>
    </row>
    <row r="84" spans="1:16" x14ac:dyDescent="0.25">
      <c r="A84" s="66">
        <v>1.1204852722585201E-2</v>
      </c>
      <c r="B84" s="66">
        <v>1.5110024826572046E-3</v>
      </c>
      <c r="C84" s="66">
        <v>3.8871615385229423E-2</v>
      </c>
      <c r="D84" s="66" t="s">
        <v>41</v>
      </c>
      <c r="E84" s="66">
        <v>1.1171886186942066</v>
      </c>
      <c r="F84" s="46">
        <v>5</v>
      </c>
      <c r="G84" s="46">
        <v>0</v>
      </c>
      <c r="H84" s="46">
        <v>10</v>
      </c>
      <c r="I84" s="46">
        <v>10</v>
      </c>
      <c r="J84" s="46">
        <v>35</v>
      </c>
      <c r="K84" s="46">
        <v>20</v>
      </c>
      <c r="L84" s="46">
        <v>5</v>
      </c>
      <c r="M84" s="46">
        <v>5</v>
      </c>
      <c r="N84" s="46">
        <v>0</v>
      </c>
      <c r="O84" s="60">
        <v>10</v>
      </c>
      <c r="P84" s="46"/>
    </row>
    <row r="85" spans="1:16" x14ac:dyDescent="0.25">
      <c r="A85" s="67">
        <v>1.1771165765821934E-2</v>
      </c>
      <c r="B85" s="67">
        <v>1.5447616883830053E-3</v>
      </c>
      <c r="C85" s="67">
        <v>3.9303456443206181E-2</v>
      </c>
      <c r="D85" s="67" t="s">
        <v>41</v>
      </c>
      <c r="E85" s="67">
        <v>1.2003536471203966</v>
      </c>
      <c r="F85" s="57">
        <v>5</v>
      </c>
      <c r="G85" s="57">
        <v>0</v>
      </c>
      <c r="H85" s="57">
        <v>5</v>
      </c>
      <c r="I85" s="57">
        <v>15</v>
      </c>
      <c r="J85" s="57">
        <v>35</v>
      </c>
      <c r="K85" s="57">
        <v>20</v>
      </c>
      <c r="L85" s="57">
        <v>5</v>
      </c>
      <c r="M85" s="57">
        <v>5</v>
      </c>
      <c r="N85" s="57">
        <v>0</v>
      </c>
      <c r="O85" s="61">
        <v>10</v>
      </c>
      <c r="P85" s="46"/>
    </row>
    <row r="86" spans="1:16" x14ac:dyDescent="0.25">
      <c r="A86" s="66">
        <v>1.4109626412391663E-2</v>
      </c>
      <c r="B86" s="66">
        <v>1.5503416710271269E-3</v>
      </c>
      <c r="C86" s="66">
        <v>3.937437835734206E-2</v>
      </c>
      <c r="D86" s="66" t="s">
        <v>41</v>
      </c>
      <c r="E86" s="66">
        <v>0.36598337440075412</v>
      </c>
      <c r="F86" s="46">
        <v>5</v>
      </c>
      <c r="G86" s="46">
        <v>0</v>
      </c>
      <c r="H86" s="46">
        <v>10</v>
      </c>
      <c r="I86" s="46">
        <v>10</v>
      </c>
      <c r="J86" s="46">
        <v>35</v>
      </c>
      <c r="K86" s="46">
        <v>20</v>
      </c>
      <c r="L86" s="46">
        <v>0</v>
      </c>
      <c r="M86" s="46">
        <v>5</v>
      </c>
      <c r="N86" s="46">
        <v>5</v>
      </c>
      <c r="O86" s="60">
        <v>10</v>
      </c>
      <c r="P86" s="46"/>
    </row>
    <row r="87" spans="1:16" x14ac:dyDescent="0.25">
      <c r="A87" s="66">
        <v>1.457796897739172E-2</v>
      </c>
      <c r="B87" s="66">
        <v>1.5679084939620228E-3</v>
      </c>
      <c r="C87" s="66">
        <v>3.9596824291374969E-2</v>
      </c>
      <c r="D87" s="66" t="s">
        <v>41</v>
      </c>
      <c r="E87" s="66">
        <v>0.78086076087069978</v>
      </c>
      <c r="F87" s="46">
        <v>5</v>
      </c>
      <c r="G87" s="46">
        <v>0</v>
      </c>
      <c r="H87" s="46">
        <v>10</v>
      </c>
      <c r="I87" s="46">
        <v>10</v>
      </c>
      <c r="J87" s="46">
        <v>35</v>
      </c>
      <c r="K87" s="46">
        <v>15</v>
      </c>
      <c r="L87" s="46">
        <v>5</v>
      </c>
      <c r="M87" s="46">
        <v>5</v>
      </c>
      <c r="N87" s="46">
        <v>5</v>
      </c>
      <c r="O87" s="60">
        <v>10</v>
      </c>
      <c r="P87" s="46"/>
    </row>
    <row r="88" spans="1:16" x14ac:dyDescent="0.25">
      <c r="A88" s="66">
        <v>1.5840820968151093E-2</v>
      </c>
      <c r="B88" s="66">
        <v>1.5925732387404427E-3</v>
      </c>
      <c r="C88" s="66">
        <v>3.9907057505414283E-2</v>
      </c>
      <c r="D88" s="66" t="s">
        <v>41</v>
      </c>
      <c r="E88" s="66">
        <v>0.4199744106236098</v>
      </c>
      <c r="F88" s="46">
        <v>5</v>
      </c>
      <c r="G88" s="46">
        <v>0</v>
      </c>
      <c r="H88" s="46">
        <v>10</v>
      </c>
      <c r="I88" s="46">
        <v>5</v>
      </c>
      <c r="J88" s="46">
        <v>40</v>
      </c>
      <c r="K88" s="46">
        <v>20</v>
      </c>
      <c r="L88" s="46">
        <v>0</v>
      </c>
      <c r="M88" s="46">
        <v>5</v>
      </c>
      <c r="N88" s="46">
        <v>5</v>
      </c>
      <c r="O88" s="60">
        <v>10</v>
      </c>
      <c r="P88" s="46"/>
    </row>
    <row r="89" spans="1:16" x14ac:dyDescent="0.25">
      <c r="A89" s="66">
        <v>1.6689255833625793E-2</v>
      </c>
      <c r="B89" s="66">
        <v>1.6066721735842294E-3</v>
      </c>
      <c r="C89" s="66">
        <v>4.0083315401601066E-2</v>
      </c>
      <c r="D89" s="66" t="s">
        <v>41</v>
      </c>
      <c r="E89" s="66">
        <v>0.69998264376786201</v>
      </c>
      <c r="F89" s="46">
        <v>5</v>
      </c>
      <c r="G89" s="46">
        <v>0</v>
      </c>
      <c r="H89" s="46">
        <v>10</v>
      </c>
      <c r="I89" s="46">
        <v>5</v>
      </c>
      <c r="J89" s="46">
        <v>35</v>
      </c>
      <c r="K89" s="46">
        <v>20</v>
      </c>
      <c r="L89" s="46">
        <v>5</v>
      </c>
      <c r="M89" s="46">
        <v>5</v>
      </c>
      <c r="N89" s="46">
        <v>5</v>
      </c>
      <c r="O89" s="60">
        <v>10</v>
      </c>
      <c r="P89" s="46"/>
    </row>
    <row r="90" spans="1:16" x14ac:dyDescent="0.25">
      <c r="A90" s="67">
        <v>1.7635658383369446E-2</v>
      </c>
      <c r="B90" s="67">
        <v>1.6711972816847267E-3</v>
      </c>
      <c r="C90" s="67">
        <v>4.088027986309202E-2</v>
      </c>
      <c r="D90" s="67" t="s">
        <v>41</v>
      </c>
      <c r="E90" s="67">
        <v>0.79369324336093539</v>
      </c>
      <c r="F90" s="57">
        <v>5</v>
      </c>
      <c r="G90" s="57">
        <v>0</v>
      </c>
      <c r="H90" s="57">
        <v>5</v>
      </c>
      <c r="I90" s="57">
        <v>10</v>
      </c>
      <c r="J90" s="57">
        <v>30</v>
      </c>
      <c r="K90" s="57">
        <v>25</v>
      </c>
      <c r="L90" s="57">
        <v>5</v>
      </c>
      <c r="M90" s="57">
        <v>5</v>
      </c>
      <c r="N90" s="57">
        <v>5</v>
      </c>
      <c r="O90" s="61">
        <v>10</v>
      </c>
      <c r="P90" s="46"/>
    </row>
    <row r="91" spans="1:16" x14ac:dyDescent="0.25">
      <c r="A91" s="66">
        <v>1.8606672063469887E-2</v>
      </c>
      <c r="B91" s="66">
        <v>1.6718613362536419E-3</v>
      </c>
      <c r="C91" s="66">
        <v>4.0888400998983096E-2</v>
      </c>
      <c r="D91" s="66" t="s">
        <v>41</v>
      </c>
      <c r="E91" s="66">
        <v>0.83177017416467958</v>
      </c>
      <c r="F91" s="46">
        <v>5</v>
      </c>
      <c r="G91" s="46">
        <v>0</v>
      </c>
      <c r="H91" s="46">
        <v>5</v>
      </c>
      <c r="I91" s="46">
        <v>5</v>
      </c>
      <c r="J91" s="46">
        <v>45</v>
      </c>
      <c r="K91" s="46">
        <v>15</v>
      </c>
      <c r="L91" s="46">
        <v>5</v>
      </c>
      <c r="M91" s="46">
        <v>5</v>
      </c>
      <c r="N91" s="46">
        <v>5</v>
      </c>
      <c r="O91" s="60">
        <v>10</v>
      </c>
      <c r="P91" s="46"/>
    </row>
    <row r="92" spans="1:16" x14ac:dyDescent="0.25">
      <c r="A92" s="66">
        <v>1.9553076475858688E-2</v>
      </c>
      <c r="B92" s="66">
        <v>1.7290680535370483E-3</v>
      </c>
      <c r="C92" s="66">
        <v>4.1582064084615233E-2</v>
      </c>
      <c r="D92" s="66" t="s">
        <v>41</v>
      </c>
      <c r="E92" s="66">
        <v>0.83544385387668219</v>
      </c>
      <c r="F92" s="46">
        <v>5</v>
      </c>
      <c r="G92" s="46">
        <v>0</v>
      </c>
      <c r="H92" s="46">
        <v>0</v>
      </c>
      <c r="I92" s="46">
        <v>10</v>
      </c>
      <c r="J92" s="46">
        <v>40</v>
      </c>
      <c r="K92" s="46">
        <v>20</v>
      </c>
      <c r="L92" s="46">
        <v>5</v>
      </c>
      <c r="M92" s="46">
        <v>5</v>
      </c>
      <c r="N92" s="46">
        <v>5</v>
      </c>
      <c r="O92" s="60">
        <v>10</v>
      </c>
      <c r="P92" s="46"/>
    </row>
    <row r="93" spans="1:16" x14ac:dyDescent="0.25">
      <c r="A93" s="66">
        <v>2.0717957988381386E-2</v>
      </c>
      <c r="B93" s="66">
        <v>1.7741502661738195E-3</v>
      </c>
      <c r="C93" s="66">
        <v>4.2120663173480774E-2</v>
      </c>
      <c r="D93" s="66" t="s">
        <v>41</v>
      </c>
      <c r="E93" s="66">
        <v>0.72248406660459641</v>
      </c>
      <c r="F93" s="46">
        <v>5</v>
      </c>
      <c r="G93" s="46">
        <v>0</v>
      </c>
      <c r="H93" s="46">
        <v>5</v>
      </c>
      <c r="I93" s="46">
        <v>0</v>
      </c>
      <c r="J93" s="46">
        <v>45</v>
      </c>
      <c r="K93" s="46">
        <v>20</v>
      </c>
      <c r="L93" s="46">
        <v>5</v>
      </c>
      <c r="M93" s="46">
        <v>5</v>
      </c>
      <c r="N93" s="46">
        <v>5</v>
      </c>
      <c r="O93" s="60">
        <v>10</v>
      </c>
      <c r="P93" s="46"/>
    </row>
    <row r="94" spans="1:16" x14ac:dyDescent="0.25">
      <c r="A94" s="66">
        <v>2.1664362400770187E-2</v>
      </c>
      <c r="B94" s="66">
        <v>1.855975769867655E-3</v>
      </c>
      <c r="C94" s="66">
        <v>4.308103724224447E-2</v>
      </c>
      <c r="D94" s="66" t="s">
        <v>41</v>
      </c>
      <c r="E94" s="66">
        <v>0.88455382168077379</v>
      </c>
      <c r="F94" s="46">
        <v>5</v>
      </c>
      <c r="G94" s="46">
        <v>0</v>
      </c>
      <c r="H94" s="46">
        <v>0</v>
      </c>
      <c r="I94" s="46">
        <v>5</v>
      </c>
      <c r="J94" s="46">
        <v>40</v>
      </c>
      <c r="K94" s="46">
        <v>25</v>
      </c>
      <c r="L94" s="46">
        <v>5</v>
      </c>
      <c r="M94" s="46">
        <v>5</v>
      </c>
      <c r="N94" s="46">
        <v>5</v>
      </c>
      <c r="O94" s="60">
        <v>10</v>
      </c>
      <c r="P94" s="46"/>
    </row>
    <row r="95" spans="1:16" x14ac:dyDescent="0.25">
      <c r="A95" s="67">
        <v>2.2673502564430237E-2</v>
      </c>
      <c r="B95" s="67">
        <v>1.8944612655832315E-3</v>
      </c>
      <c r="C95" s="67">
        <v>4.3525409424647936E-2</v>
      </c>
      <c r="D95" s="67" t="s">
        <v>41</v>
      </c>
      <c r="E95" s="67">
        <v>6.0339980278385365E-2</v>
      </c>
      <c r="F95" s="57">
        <v>0</v>
      </c>
      <c r="G95" s="57">
        <v>0</v>
      </c>
      <c r="H95" s="57">
        <v>5</v>
      </c>
      <c r="I95" s="57">
        <v>5</v>
      </c>
      <c r="J95" s="57">
        <v>45</v>
      </c>
      <c r="K95" s="57">
        <v>20</v>
      </c>
      <c r="L95" s="57">
        <v>5</v>
      </c>
      <c r="M95" s="57">
        <v>5</v>
      </c>
      <c r="N95" s="57">
        <v>5</v>
      </c>
      <c r="O95" s="61">
        <v>10</v>
      </c>
      <c r="P95" s="46"/>
    </row>
    <row r="96" spans="1:16" x14ac:dyDescent="0.25">
      <c r="A96" s="66">
        <v>2.3619906976819038E-2</v>
      </c>
      <c r="B96" s="66">
        <v>1.9944893353385849E-3</v>
      </c>
      <c r="C96" s="66">
        <v>4.465970594773979E-2</v>
      </c>
      <c r="D96" s="66" t="s">
        <v>41</v>
      </c>
      <c r="E96" s="66">
        <v>0.13564901404293095</v>
      </c>
      <c r="F96" s="46">
        <v>0</v>
      </c>
      <c r="G96" s="46">
        <v>0</v>
      </c>
      <c r="H96" s="46">
        <v>0</v>
      </c>
      <c r="I96" s="46">
        <v>10</v>
      </c>
      <c r="J96" s="46">
        <v>40</v>
      </c>
      <c r="K96" s="46">
        <v>25</v>
      </c>
      <c r="L96" s="46">
        <v>5</v>
      </c>
      <c r="M96" s="46">
        <v>5</v>
      </c>
      <c r="N96" s="46">
        <v>5</v>
      </c>
      <c r="O96" s="60">
        <v>10</v>
      </c>
      <c r="P96" s="46"/>
    </row>
    <row r="97" spans="1:16" x14ac:dyDescent="0.25">
      <c r="A97" s="66">
        <v>2.459091879427433E-2</v>
      </c>
      <c r="B97" s="66">
        <v>2.0342618014547046E-3</v>
      </c>
      <c r="C97" s="66">
        <v>4.5102791504015631E-2</v>
      </c>
      <c r="D97" s="66" t="s">
        <v>41</v>
      </c>
      <c r="E97" s="66">
        <v>4.0902968009111328E-2</v>
      </c>
      <c r="F97" s="46">
        <v>0</v>
      </c>
      <c r="G97" s="46">
        <v>0</v>
      </c>
      <c r="H97" s="46">
        <v>0</v>
      </c>
      <c r="I97" s="46">
        <v>5</v>
      </c>
      <c r="J97" s="46">
        <v>55</v>
      </c>
      <c r="K97" s="46">
        <v>15</v>
      </c>
      <c r="L97" s="46">
        <v>5</v>
      </c>
      <c r="M97" s="46">
        <v>5</v>
      </c>
      <c r="N97" s="46">
        <v>5</v>
      </c>
      <c r="O97" s="60">
        <v>10</v>
      </c>
      <c r="P97" s="46"/>
    </row>
    <row r="98" spans="1:16" x14ac:dyDescent="0.25">
      <c r="A98" s="66">
        <v>2.5574633851647377E-2</v>
      </c>
      <c r="B98" s="66">
        <v>2.1271921324660069E-3</v>
      </c>
      <c r="C98" s="66">
        <v>4.6121493172554671E-2</v>
      </c>
      <c r="D98" s="66" t="s">
        <v>41</v>
      </c>
      <c r="E98" s="66">
        <v>2.0545656064928485E-2</v>
      </c>
      <c r="F98" s="46">
        <v>5</v>
      </c>
      <c r="G98" s="46">
        <v>0</v>
      </c>
      <c r="H98" s="46">
        <v>0</v>
      </c>
      <c r="I98" s="46">
        <v>10</v>
      </c>
      <c r="J98" s="46">
        <v>35</v>
      </c>
      <c r="K98" s="46">
        <v>20</v>
      </c>
      <c r="L98" s="46">
        <v>5</v>
      </c>
      <c r="M98" s="46">
        <v>5</v>
      </c>
      <c r="N98" s="46">
        <v>5</v>
      </c>
      <c r="O98" s="60">
        <v>15</v>
      </c>
      <c r="P98" s="46"/>
    </row>
    <row r="99" spans="1:16" x14ac:dyDescent="0.25">
      <c r="A99" s="66">
        <v>2.6739517226815224E-2</v>
      </c>
      <c r="B99" s="66">
        <v>2.151306412633858E-3</v>
      </c>
      <c r="C99" s="66">
        <v>4.6382177747857613E-2</v>
      </c>
      <c r="D99" s="66" t="s">
        <v>41</v>
      </c>
      <c r="E99" s="66">
        <v>3.824081792500162E-2</v>
      </c>
      <c r="F99" s="46">
        <v>5</v>
      </c>
      <c r="G99" s="46">
        <v>0</v>
      </c>
      <c r="H99" s="46">
        <v>5</v>
      </c>
      <c r="I99" s="46">
        <v>0</v>
      </c>
      <c r="J99" s="46">
        <v>40</v>
      </c>
      <c r="K99" s="46">
        <v>20</v>
      </c>
      <c r="L99" s="46">
        <v>5</v>
      </c>
      <c r="M99" s="46">
        <v>5</v>
      </c>
      <c r="N99" s="46">
        <v>5</v>
      </c>
      <c r="O99" s="60">
        <v>15</v>
      </c>
      <c r="P99" s="46"/>
    </row>
    <row r="100" spans="1:16" x14ac:dyDescent="0.25">
      <c r="A100" s="67">
        <v>2.7685919776558876E-2</v>
      </c>
      <c r="B100" s="67">
        <v>2.211543813464232E-3</v>
      </c>
      <c r="C100" s="67">
        <v>4.7027054058958788E-2</v>
      </c>
      <c r="D100" s="67" t="s">
        <v>41</v>
      </c>
      <c r="E100" s="67">
        <v>1.0361043364082844E-2</v>
      </c>
      <c r="F100" s="57">
        <v>5</v>
      </c>
      <c r="G100" s="57">
        <v>0</v>
      </c>
      <c r="H100" s="57">
        <v>0</v>
      </c>
      <c r="I100" s="57">
        <v>5</v>
      </c>
      <c r="J100" s="57">
        <v>35</v>
      </c>
      <c r="K100" s="57">
        <v>25</v>
      </c>
      <c r="L100" s="57">
        <v>5</v>
      </c>
      <c r="M100" s="57">
        <v>5</v>
      </c>
      <c r="N100" s="57">
        <v>5</v>
      </c>
      <c r="O100" s="61">
        <v>15</v>
      </c>
      <c r="P100" s="46"/>
    </row>
    <row r="101" spans="1:16" x14ac:dyDescent="0.25">
      <c r="A101" s="66">
        <v>2.9037024825811386E-2</v>
      </c>
      <c r="B101" s="66">
        <v>2.2640826404676773E-3</v>
      </c>
      <c r="C101" s="66">
        <v>4.7582377415043876E-2</v>
      </c>
      <c r="D101" s="66" t="s">
        <v>41</v>
      </c>
      <c r="E101" s="66">
        <v>9.2742086591379461E-2</v>
      </c>
      <c r="F101" s="46">
        <v>5</v>
      </c>
      <c r="G101" s="46">
        <v>0</v>
      </c>
      <c r="H101" s="46">
        <v>0</v>
      </c>
      <c r="I101" s="46">
        <v>0</v>
      </c>
      <c r="J101" s="46">
        <v>45</v>
      </c>
      <c r="K101" s="46">
        <v>20</v>
      </c>
      <c r="L101" s="46">
        <v>5</v>
      </c>
      <c r="M101" s="46">
        <v>5</v>
      </c>
      <c r="N101" s="46">
        <v>5</v>
      </c>
      <c r="O101" s="60">
        <v>15</v>
      </c>
      <c r="P101" s="46"/>
    </row>
    <row r="102" spans="1:16" x14ac:dyDescent="0.25">
      <c r="A102" s="66">
        <v>2.9505368322134018E-2</v>
      </c>
      <c r="B102" s="66">
        <v>2.3538617134909148E-3</v>
      </c>
      <c r="C102" s="66">
        <v>4.851661275780611E-2</v>
      </c>
      <c r="D102" s="66" t="s">
        <v>41</v>
      </c>
      <c r="E102" s="66">
        <v>0.19910499627560221</v>
      </c>
      <c r="F102" s="46">
        <v>5</v>
      </c>
      <c r="G102" s="46">
        <v>0</v>
      </c>
      <c r="H102" s="46">
        <v>0</v>
      </c>
      <c r="I102" s="46">
        <v>0</v>
      </c>
      <c r="J102" s="46">
        <v>45</v>
      </c>
      <c r="K102" s="46">
        <v>15</v>
      </c>
      <c r="L102" s="46">
        <v>10</v>
      </c>
      <c r="M102" s="46">
        <v>5</v>
      </c>
      <c r="N102" s="46">
        <v>5</v>
      </c>
      <c r="O102" s="60">
        <v>15</v>
      </c>
      <c r="P102" s="46"/>
    </row>
    <row r="103" spans="1:16" x14ac:dyDescent="0.25">
      <c r="A103" s="66">
        <v>3.0992569401860237E-2</v>
      </c>
      <c r="B103" s="66">
        <v>2.4233573218225505E-3</v>
      </c>
      <c r="C103" s="66">
        <v>4.9227607313605551E-2</v>
      </c>
      <c r="D103" s="66" t="s">
        <v>41</v>
      </c>
      <c r="E103" s="66">
        <v>0.61279556259256318</v>
      </c>
      <c r="F103" s="46">
        <v>0</v>
      </c>
      <c r="G103" s="46">
        <v>0</v>
      </c>
      <c r="H103" s="46">
        <v>0</v>
      </c>
      <c r="I103" s="46">
        <v>5</v>
      </c>
      <c r="J103" s="46">
        <v>45</v>
      </c>
      <c r="K103" s="46">
        <v>20</v>
      </c>
      <c r="L103" s="46">
        <v>5</v>
      </c>
      <c r="M103" s="46">
        <v>5</v>
      </c>
      <c r="N103" s="46">
        <v>5</v>
      </c>
      <c r="O103" s="60">
        <v>15</v>
      </c>
      <c r="P103" s="46"/>
    </row>
    <row r="104" spans="1:16" x14ac:dyDescent="0.25">
      <c r="A104" s="66">
        <v>3.1941797584295273E-2</v>
      </c>
      <c r="B104" s="66">
        <v>2.5068796894629486E-3</v>
      </c>
      <c r="C104" s="66">
        <v>5.0068749629513902E-2</v>
      </c>
      <c r="D104" s="66" t="s">
        <v>41</v>
      </c>
      <c r="E104" s="66">
        <v>0.83676770172699311</v>
      </c>
      <c r="F104" s="46">
        <v>5</v>
      </c>
      <c r="G104" s="46">
        <v>0</v>
      </c>
      <c r="H104" s="46">
        <v>0</v>
      </c>
      <c r="I104" s="46">
        <v>0</v>
      </c>
      <c r="J104" s="46">
        <v>45</v>
      </c>
      <c r="K104" s="46">
        <v>20</v>
      </c>
      <c r="L104" s="46">
        <v>0</v>
      </c>
      <c r="M104" s="46">
        <v>5</v>
      </c>
      <c r="N104" s="46">
        <v>10</v>
      </c>
      <c r="O104" s="60">
        <v>15</v>
      </c>
      <c r="P104" s="46"/>
    </row>
    <row r="105" spans="1:16" x14ac:dyDescent="0.25">
      <c r="A105" s="67">
        <v>3.2790232449769974E-2</v>
      </c>
      <c r="B105" s="67">
        <v>2.5155331287533048E-3</v>
      </c>
      <c r="C105" s="67">
        <v>5.0155090756106753E-2</v>
      </c>
      <c r="D105" s="67" t="s">
        <v>41</v>
      </c>
      <c r="E105" s="67">
        <v>0.54551670469796054</v>
      </c>
      <c r="F105" s="57">
        <v>5</v>
      </c>
      <c r="G105" s="57">
        <v>0</v>
      </c>
      <c r="H105" s="57">
        <v>0</v>
      </c>
      <c r="I105" s="57">
        <v>0</v>
      </c>
      <c r="J105" s="57">
        <v>40</v>
      </c>
      <c r="K105" s="57">
        <v>20</v>
      </c>
      <c r="L105" s="57">
        <v>5</v>
      </c>
      <c r="M105" s="57">
        <v>5</v>
      </c>
      <c r="N105" s="57">
        <v>10</v>
      </c>
      <c r="O105" s="61">
        <v>15</v>
      </c>
      <c r="P105" s="46"/>
    </row>
    <row r="106" spans="1:16" x14ac:dyDescent="0.25">
      <c r="A106" s="66">
        <v>3.3638663589954376E-2</v>
      </c>
      <c r="B106" s="66">
        <v>2.6269042116473427E-3</v>
      </c>
      <c r="C106" s="66">
        <v>5.1253333663746618E-2</v>
      </c>
      <c r="D106" s="66" t="s">
        <v>41</v>
      </c>
      <c r="E106" s="66">
        <v>0.28131328020183799</v>
      </c>
      <c r="F106" s="46">
        <v>5</v>
      </c>
      <c r="G106" s="46">
        <v>0</v>
      </c>
      <c r="H106" s="46">
        <v>0</v>
      </c>
      <c r="I106" s="46">
        <v>0</v>
      </c>
      <c r="J106" s="46">
        <v>35</v>
      </c>
      <c r="K106" s="46">
        <v>20</v>
      </c>
      <c r="L106" s="46">
        <v>10</v>
      </c>
      <c r="M106" s="46">
        <v>5</v>
      </c>
      <c r="N106" s="46">
        <v>10</v>
      </c>
      <c r="O106" s="60">
        <v>15</v>
      </c>
      <c r="P106" s="46"/>
    </row>
    <row r="107" spans="1:16" x14ac:dyDescent="0.25">
      <c r="A107" s="66">
        <v>3.4841515123844147E-2</v>
      </c>
      <c r="B107" s="66">
        <v>2.7342147348099386E-3</v>
      </c>
      <c r="C107" s="66">
        <v>5.2289719207602739E-2</v>
      </c>
      <c r="D107" s="66" t="s">
        <v>41</v>
      </c>
      <c r="E107" s="66">
        <v>0.94752375690822621</v>
      </c>
      <c r="F107" s="46">
        <v>5</v>
      </c>
      <c r="G107" s="46">
        <v>0</v>
      </c>
      <c r="H107" s="46">
        <v>0</v>
      </c>
      <c r="I107" s="46">
        <v>0</v>
      </c>
      <c r="J107" s="46">
        <v>35</v>
      </c>
      <c r="K107" s="46">
        <v>20</v>
      </c>
      <c r="L107" s="46">
        <v>5</v>
      </c>
      <c r="M107" s="46">
        <v>10</v>
      </c>
      <c r="N107" s="46">
        <v>10</v>
      </c>
      <c r="O107" s="60">
        <v>15</v>
      </c>
      <c r="P107" s="46"/>
    </row>
    <row r="108" spans="1:16" x14ac:dyDescent="0.25">
      <c r="A108" s="66">
        <v>3.5628538578748703E-2</v>
      </c>
      <c r="B108" s="66">
        <v>2.8285243397112932E-3</v>
      </c>
      <c r="C108" s="66">
        <v>5.3183872928842753E-2</v>
      </c>
      <c r="D108" s="66" t="s">
        <v>41</v>
      </c>
      <c r="E108" s="66">
        <v>0.67368361292405066</v>
      </c>
      <c r="F108" s="46">
        <v>0</v>
      </c>
      <c r="G108" s="46">
        <v>0</v>
      </c>
      <c r="H108" s="46">
        <v>0</v>
      </c>
      <c r="I108" s="46">
        <v>0</v>
      </c>
      <c r="J108" s="46">
        <v>50</v>
      </c>
      <c r="K108" s="46">
        <v>20</v>
      </c>
      <c r="L108" s="46">
        <v>0</v>
      </c>
      <c r="M108" s="46">
        <v>5</v>
      </c>
      <c r="N108" s="46">
        <v>10</v>
      </c>
      <c r="O108" s="60">
        <v>15</v>
      </c>
      <c r="P108" s="46"/>
    </row>
    <row r="109" spans="1:16" x14ac:dyDescent="0.25">
      <c r="A109" s="66">
        <v>3.6857061088085175E-2</v>
      </c>
      <c r="B109" s="66">
        <v>2.8952511621173475E-3</v>
      </c>
      <c r="C109" s="66">
        <v>5.3807538153286177E-2</v>
      </c>
      <c r="D109" s="66" t="s">
        <v>41</v>
      </c>
      <c r="E109" s="66">
        <v>0.28806636466294</v>
      </c>
      <c r="F109" s="46">
        <v>0</v>
      </c>
      <c r="G109" s="46">
        <v>0</v>
      </c>
      <c r="H109" s="46">
        <v>0</v>
      </c>
      <c r="I109" s="46">
        <v>0</v>
      </c>
      <c r="J109" s="46">
        <v>40</v>
      </c>
      <c r="K109" s="46">
        <v>25</v>
      </c>
      <c r="L109" s="46">
        <v>5</v>
      </c>
      <c r="M109" s="46">
        <v>5</v>
      </c>
      <c r="N109" s="46">
        <v>10</v>
      </c>
      <c r="O109" s="60">
        <v>15</v>
      </c>
      <c r="P109" s="46"/>
    </row>
    <row r="110" spans="1:16" x14ac:dyDescent="0.25">
      <c r="A110" s="67">
        <v>3.7705495953559875E-2</v>
      </c>
      <c r="B110" s="67">
        <v>3.0233012925600638E-3</v>
      </c>
      <c r="C110" s="67">
        <v>5.4984555036483328E-2</v>
      </c>
      <c r="D110" s="67" t="s">
        <v>41</v>
      </c>
      <c r="E110" s="67">
        <v>5.961694151934023E-2</v>
      </c>
      <c r="F110" s="57">
        <v>0</v>
      </c>
      <c r="G110" s="57">
        <v>0</v>
      </c>
      <c r="H110" s="57">
        <v>0</v>
      </c>
      <c r="I110" s="57">
        <v>0</v>
      </c>
      <c r="J110" s="57">
        <v>35</v>
      </c>
      <c r="K110" s="57">
        <v>25</v>
      </c>
      <c r="L110" s="57">
        <v>10</v>
      </c>
      <c r="M110" s="57">
        <v>5</v>
      </c>
      <c r="N110" s="57">
        <v>10</v>
      </c>
      <c r="O110" s="61">
        <v>15</v>
      </c>
      <c r="P110" s="46"/>
    </row>
    <row r="111" spans="1:16" x14ac:dyDescent="0.25">
      <c r="A111" s="66">
        <v>3.8528256118297577E-2</v>
      </c>
      <c r="B111" s="66">
        <v>3.0953701632097366E-3</v>
      </c>
      <c r="C111" s="66">
        <v>5.5636050931116031E-2</v>
      </c>
      <c r="D111" s="66" t="s">
        <v>41</v>
      </c>
      <c r="E111" s="66">
        <v>0.83815062818354036</v>
      </c>
      <c r="F111" s="46">
        <v>0</v>
      </c>
      <c r="G111" s="46">
        <v>0</v>
      </c>
      <c r="H111" s="46">
        <v>0</v>
      </c>
      <c r="I111" s="46">
        <v>0</v>
      </c>
      <c r="J111" s="46">
        <v>40</v>
      </c>
      <c r="K111" s="46">
        <v>20</v>
      </c>
      <c r="L111" s="46">
        <v>5</v>
      </c>
      <c r="M111" s="46">
        <v>10</v>
      </c>
      <c r="N111" s="46">
        <v>10</v>
      </c>
      <c r="O111" s="60">
        <v>15</v>
      </c>
      <c r="P111" s="46"/>
    </row>
    <row r="112" spans="1:16" x14ac:dyDescent="0.25">
      <c r="A112" s="66">
        <v>3.9756782352924347E-2</v>
      </c>
      <c r="B112" s="66">
        <v>3.2813101867213848E-3</v>
      </c>
      <c r="C112" s="66">
        <v>5.7282721537313369E-2</v>
      </c>
      <c r="D112" s="66" t="s">
        <v>41</v>
      </c>
      <c r="E112" s="66">
        <v>0.35578956772354731</v>
      </c>
      <c r="F112" s="46">
        <v>0</v>
      </c>
      <c r="G112" s="46">
        <v>0</v>
      </c>
      <c r="H112" s="46">
        <v>0</v>
      </c>
      <c r="I112" s="46">
        <v>0</v>
      </c>
      <c r="J112" s="46">
        <v>30</v>
      </c>
      <c r="K112" s="46">
        <v>25</v>
      </c>
      <c r="L112" s="46">
        <v>10</v>
      </c>
      <c r="M112" s="46">
        <v>10</v>
      </c>
      <c r="N112" s="46">
        <v>10</v>
      </c>
      <c r="O112" s="60">
        <v>15</v>
      </c>
      <c r="P112" s="46"/>
    </row>
    <row r="113" spans="1:16" x14ac:dyDescent="0.25">
      <c r="A113" s="66">
        <v>4.0863074362277985E-2</v>
      </c>
      <c r="B113" s="66">
        <v>3.4601497213589036E-3</v>
      </c>
      <c r="C113" s="66">
        <v>5.8823037335374848E-2</v>
      </c>
      <c r="D113" s="66" t="s">
        <v>41</v>
      </c>
      <c r="E113" s="66">
        <v>2.1929700177011511</v>
      </c>
      <c r="F113" s="46">
        <v>5</v>
      </c>
      <c r="G113" s="46">
        <v>0</v>
      </c>
      <c r="H113" s="46">
        <v>0</v>
      </c>
      <c r="I113" s="46">
        <v>0</v>
      </c>
      <c r="J113" s="46">
        <v>30</v>
      </c>
      <c r="K113" s="46">
        <v>20</v>
      </c>
      <c r="L113" s="46">
        <v>5</v>
      </c>
      <c r="M113" s="46">
        <v>10</v>
      </c>
      <c r="N113" s="46">
        <v>10</v>
      </c>
      <c r="O113" s="60">
        <v>20</v>
      </c>
      <c r="P113" s="46"/>
    </row>
    <row r="114" spans="1:16" x14ac:dyDescent="0.25">
      <c r="A114" s="66">
        <v>4.1650094091892242E-2</v>
      </c>
      <c r="B114" s="66">
        <v>3.5505380138056361E-3</v>
      </c>
      <c r="C114" s="66">
        <v>5.9586391179577543E-2</v>
      </c>
      <c r="D114" s="66" t="s">
        <v>41</v>
      </c>
      <c r="E114" s="66">
        <v>2.6376067437240835</v>
      </c>
      <c r="F114" s="46">
        <v>0</v>
      </c>
      <c r="G114" s="46">
        <v>0</v>
      </c>
      <c r="H114" s="46">
        <v>0</v>
      </c>
      <c r="I114" s="46">
        <v>0</v>
      </c>
      <c r="J114" s="46">
        <v>45</v>
      </c>
      <c r="K114" s="46">
        <v>20</v>
      </c>
      <c r="L114" s="46">
        <v>0</v>
      </c>
      <c r="M114" s="46">
        <v>5</v>
      </c>
      <c r="N114" s="46">
        <v>10</v>
      </c>
      <c r="O114" s="60">
        <v>20</v>
      </c>
      <c r="P114" s="46"/>
    </row>
    <row r="115" spans="1:16" x14ac:dyDescent="0.25">
      <c r="A115" s="67">
        <v>4.2878620326519012E-2</v>
      </c>
      <c r="B115" s="67">
        <v>3.6110166483558723E-3</v>
      </c>
      <c r="C115" s="67">
        <v>6.009173527496E-2</v>
      </c>
      <c r="D115" s="67" t="s">
        <v>41</v>
      </c>
      <c r="E115" s="67">
        <v>2.4184420273999132</v>
      </c>
      <c r="F115" s="57">
        <v>0</v>
      </c>
      <c r="G115" s="57">
        <v>0</v>
      </c>
      <c r="H115" s="57">
        <v>0</v>
      </c>
      <c r="I115" s="57">
        <v>0</v>
      </c>
      <c r="J115" s="57">
        <v>35</v>
      </c>
      <c r="K115" s="57">
        <v>25</v>
      </c>
      <c r="L115" s="57">
        <v>5</v>
      </c>
      <c r="M115" s="57">
        <v>5</v>
      </c>
      <c r="N115" s="57">
        <v>10</v>
      </c>
      <c r="O115" s="61">
        <v>20</v>
      </c>
      <c r="P115" s="46"/>
    </row>
    <row r="116" spans="1:16" x14ac:dyDescent="0.25">
      <c r="A116" s="66">
        <v>4.3727051466703415E-2</v>
      </c>
      <c r="B116" s="66">
        <v>3.7444473255891361E-3</v>
      </c>
      <c r="C116" s="66">
        <v>6.119188937750767E-2</v>
      </c>
      <c r="D116" s="66" t="s">
        <v>41</v>
      </c>
      <c r="E116" s="66">
        <v>1.7632321091051126</v>
      </c>
      <c r="F116" s="46">
        <v>0</v>
      </c>
      <c r="G116" s="46">
        <v>0</v>
      </c>
      <c r="H116" s="46">
        <v>0</v>
      </c>
      <c r="I116" s="46">
        <v>0</v>
      </c>
      <c r="J116" s="46">
        <v>30</v>
      </c>
      <c r="K116" s="46">
        <v>25</v>
      </c>
      <c r="L116" s="46">
        <v>10</v>
      </c>
      <c r="M116" s="46">
        <v>5</v>
      </c>
      <c r="N116" s="46">
        <v>10</v>
      </c>
      <c r="O116" s="60">
        <v>20</v>
      </c>
      <c r="P116" s="46"/>
    </row>
    <row r="117" spans="1:16" x14ac:dyDescent="0.25">
      <c r="A117" s="66">
        <v>4.4549815356731415E-2</v>
      </c>
      <c r="B117" s="66">
        <v>3.8399536150973295E-3</v>
      </c>
      <c r="C117" s="66">
        <v>6.1967359271614356E-2</v>
      </c>
      <c r="D117" s="66" t="s">
        <v>41</v>
      </c>
      <c r="E117" s="66">
        <v>3.2212576820012755</v>
      </c>
      <c r="F117" s="46">
        <v>0</v>
      </c>
      <c r="G117" s="46">
        <v>0</v>
      </c>
      <c r="H117" s="46">
        <v>0</v>
      </c>
      <c r="I117" s="46">
        <v>0</v>
      </c>
      <c r="J117" s="46">
        <v>35</v>
      </c>
      <c r="K117" s="46">
        <v>20</v>
      </c>
      <c r="L117" s="46">
        <v>5</v>
      </c>
      <c r="M117" s="46">
        <v>10</v>
      </c>
      <c r="N117" s="46">
        <v>10</v>
      </c>
      <c r="O117" s="60">
        <v>20</v>
      </c>
      <c r="P117" s="46"/>
    </row>
    <row r="118" spans="1:16" x14ac:dyDescent="0.25">
      <c r="A118" s="66">
        <v>4.5778337866067886E-2</v>
      </c>
      <c r="B118" s="66">
        <v>4.0196454507531601E-3</v>
      </c>
      <c r="C118" s="66">
        <v>6.3400673898257265E-2</v>
      </c>
      <c r="D118" s="66" t="s">
        <v>41</v>
      </c>
      <c r="E118" s="66">
        <v>2.6248092520254747</v>
      </c>
      <c r="F118" s="46">
        <v>0</v>
      </c>
      <c r="G118" s="46">
        <v>0</v>
      </c>
      <c r="H118" s="46">
        <v>0</v>
      </c>
      <c r="I118" s="46">
        <v>0</v>
      </c>
      <c r="J118" s="46">
        <v>25</v>
      </c>
      <c r="K118" s="46">
        <v>25</v>
      </c>
      <c r="L118" s="46">
        <v>10</v>
      </c>
      <c r="M118" s="46">
        <v>10</v>
      </c>
      <c r="N118" s="46">
        <v>10</v>
      </c>
      <c r="O118" s="60">
        <v>20</v>
      </c>
      <c r="P118" s="46"/>
    </row>
    <row r="119" spans="1:16" x14ac:dyDescent="0.25">
      <c r="A119" s="66">
        <v>4.66318279504776E-2</v>
      </c>
      <c r="B119" s="66">
        <v>4.1803511604666718E-3</v>
      </c>
      <c r="C119" s="66">
        <v>6.465563517951603E-2</v>
      </c>
      <c r="D119" s="66" t="s">
        <v>41</v>
      </c>
      <c r="E119" s="66">
        <v>2.2035463006446716</v>
      </c>
      <c r="F119" s="46">
        <v>0</v>
      </c>
      <c r="G119" s="46">
        <v>0</v>
      </c>
      <c r="H119" s="46">
        <v>0</v>
      </c>
      <c r="I119" s="46">
        <v>0</v>
      </c>
      <c r="J119" s="46">
        <v>30</v>
      </c>
      <c r="K119" s="46">
        <v>25</v>
      </c>
      <c r="L119" s="46">
        <v>5</v>
      </c>
      <c r="M119" s="46">
        <v>5</v>
      </c>
      <c r="N119" s="46">
        <v>15</v>
      </c>
      <c r="O119" s="60">
        <v>20</v>
      </c>
      <c r="P119" s="46"/>
    </row>
    <row r="120" spans="1:16" x14ac:dyDescent="0.25">
      <c r="A120" s="67">
        <v>4.7922927886247635E-2</v>
      </c>
      <c r="B120" s="67">
        <v>4.3826043902663522E-3</v>
      </c>
      <c r="C120" s="67">
        <v>6.6201241606682518E-2</v>
      </c>
      <c r="D120" s="67" t="s">
        <v>41</v>
      </c>
      <c r="E120" s="67">
        <v>2.9319140277488889</v>
      </c>
      <c r="F120" s="57">
        <v>0</v>
      </c>
      <c r="G120" s="57">
        <v>0</v>
      </c>
      <c r="H120" s="57">
        <v>0</v>
      </c>
      <c r="I120" s="57">
        <v>0</v>
      </c>
      <c r="J120" s="57">
        <v>35</v>
      </c>
      <c r="K120" s="57">
        <v>15</v>
      </c>
      <c r="L120" s="57">
        <v>5</v>
      </c>
      <c r="M120" s="57">
        <v>10</v>
      </c>
      <c r="N120" s="57">
        <v>15</v>
      </c>
      <c r="O120" s="61">
        <v>20</v>
      </c>
      <c r="P120" s="46"/>
    </row>
    <row r="121" spans="1:16" x14ac:dyDescent="0.25">
      <c r="A121" s="66">
        <v>4.8683110624551773E-2</v>
      </c>
      <c r="B121" s="66">
        <v>4.4794211181579165E-3</v>
      </c>
      <c r="C121" s="66">
        <v>6.6928477632155328E-2</v>
      </c>
      <c r="D121" s="66" t="s">
        <v>41</v>
      </c>
      <c r="E121" s="66">
        <v>3.1083590326545916</v>
      </c>
      <c r="F121" s="46">
        <v>0</v>
      </c>
      <c r="G121" s="46">
        <v>0</v>
      </c>
      <c r="H121" s="46">
        <v>0</v>
      </c>
      <c r="I121" s="46">
        <v>0</v>
      </c>
      <c r="J121" s="46">
        <v>25</v>
      </c>
      <c r="K121" s="46">
        <v>25</v>
      </c>
      <c r="L121" s="46">
        <v>5</v>
      </c>
      <c r="M121" s="46">
        <v>10</v>
      </c>
      <c r="N121" s="46">
        <v>15</v>
      </c>
      <c r="O121" s="60">
        <v>20</v>
      </c>
      <c r="P121" s="46"/>
    </row>
    <row r="122" spans="1:16" x14ac:dyDescent="0.25">
      <c r="A122" s="66">
        <v>4.9531545490026474E-2</v>
      </c>
      <c r="B122" s="66">
        <v>4.6222644101362679E-3</v>
      </c>
      <c r="C122" s="66">
        <v>6.7987237112095297E-2</v>
      </c>
      <c r="D122" s="66" t="s">
        <v>41</v>
      </c>
      <c r="E122" s="66">
        <v>2.5676072693176337</v>
      </c>
      <c r="F122" s="46">
        <v>0</v>
      </c>
      <c r="G122" s="46">
        <v>0</v>
      </c>
      <c r="H122" s="46">
        <v>0</v>
      </c>
      <c r="I122" s="46">
        <v>0</v>
      </c>
      <c r="J122" s="46">
        <v>20</v>
      </c>
      <c r="K122" s="46">
        <v>25</v>
      </c>
      <c r="L122" s="46">
        <v>10</v>
      </c>
      <c r="M122" s="46">
        <v>10</v>
      </c>
      <c r="N122" s="46">
        <v>15</v>
      </c>
      <c r="O122" s="60">
        <v>20</v>
      </c>
      <c r="P122" s="46"/>
    </row>
    <row r="123" spans="1:16" x14ac:dyDescent="0.25">
      <c r="A123" s="66">
        <v>5.0822649151086807E-2</v>
      </c>
      <c r="B123" s="66">
        <v>4.9428831576369707E-3</v>
      </c>
      <c r="C123" s="66">
        <v>7.0305641008648598E-2</v>
      </c>
      <c r="D123" s="66" t="s">
        <v>41</v>
      </c>
      <c r="E123" s="66">
        <v>2.8815754794872199</v>
      </c>
      <c r="F123" s="46">
        <v>0</v>
      </c>
      <c r="G123" s="46">
        <v>0</v>
      </c>
      <c r="H123" s="46">
        <v>0</v>
      </c>
      <c r="I123" s="46">
        <v>0</v>
      </c>
      <c r="J123" s="46">
        <v>25</v>
      </c>
      <c r="K123" s="46">
        <v>15</v>
      </c>
      <c r="L123" s="46">
        <v>10</v>
      </c>
      <c r="M123" s="46">
        <v>15</v>
      </c>
      <c r="N123" s="46">
        <v>15</v>
      </c>
      <c r="O123" s="60">
        <v>20</v>
      </c>
      <c r="P123" s="46"/>
    </row>
    <row r="124" spans="1:16" x14ac:dyDescent="0.25">
      <c r="A124" s="66">
        <v>5.1582831889390945E-2</v>
      </c>
      <c r="B124" s="66">
        <v>5.0938756286632268E-3</v>
      </c>
      <c r="C124" s="66">
        <v>7.1371392228702021E-2</v>
      </c>
      <c r="D124" s="66" t="s">
        <v>41</v>
      </c>
      <c r="E124" s="66">
        <v>3.0041590796888435</v>
      </c>
      <c r="F124" s="46">
        <v>0</v>
      </c>
      <c r="G124" s="46">
        <v>0</v>
      </c>
      <c r="H124" s="46">
        <v>0</v>
      </c>
      <c r="I124" s="46">
        <v>0</v>
      </c>
      <c r="J124" s="46">
        <v>15</v>
      </c>
      <c r="K124" s="46">
        <v>25</v>
      </c>
      <c r="L124" s="46">
        <v>10</v>
      </c>
      <c r="M124" s="46">
        <v>15</v>
      </c>
      <c r="N124" s="46">
        <v>15</v>
      </c>
      <c r="O124" s="60">
        <v>20</v>
      </c>
      <c r="P124" s="46"/>
    </row>
    <row r="125" spans="1:16" x14ac:dyDescent="0.25">
      <c r="A125" s="67">
        <v>5.265338346362114E-2</v>
      </c>
      <c r="B125" s="67">
        <v>5.2685929246945309E-3</v>
      </c>
      <c r="C125" s="67">
        <v>7.2585073704547073E-2</v>
      </c>
      <c r="D125" s="67" t="s">
        <v>41</v>
      </c>
      <c r="E125" s="67">
        <v>4.5704453839552173</v>
      </c>
      <c r="F125" s="57">
        <v>0</v>
      </c>
      <c r="G125" s="57">
        <v>0</v>
      </c>
      <c r="H125" s="57">
        <v>0</v>
      </c>
      <c r="I125" s="57">
        <v>0</v>
      </c>
      <c r="J125" s="57">
        <v>25</v>
      </c>
      <c r="K125" s="57">
        <v>25</v>
      </c>
      <c r="L125" s="57">
        <v>5</v>
      </c>
      <c r="M125" s="57">
        <v>5</v>
      </c>
      <c r="N125" s="57">
        <v>15</v>
      </c>
      <c r="O125" s="61">
        <v>25</v>
      </c>
      <c r="P125" s="46"/>
    </row>
    <row r="126" spans="1:16" x14ac:dyDescent="0.25">
      <c r="A126" s="66">
        <v>5.350181832909584E-2</v>
      </c>
      <c r="B126" s="66">
        <v>5.4274090775288646E-3</v>
      </c>
      <c r="C126" s="66">
        <v>7.3670951381999028E-2</v>
      </c>
      <c r="D126" s="66" t="s">
        <v>41</v>
      </c>
      <c r="E126" s="66">
        <v>4.0411446000195443</v>
      </c>
      <c r="F126" s="46">
        <v>0</v>
      </c>
      <c r="G126" s="46">
        <v>0</v>
      </c>
      <c r="H126" s="46">
        <v>0</v>
      </c>
      <c r="I126" s="46">
        <v>0</v>
      </c>
      <c r="J126" s="46">
        <v>20</v>
      </c>
      <c r="K126" s="46">
        <v>25</v>
      </c>
      <c r="L126" s="46">
        <v>10</v>
      </c>
      <c r="M126" s="46">
        <v>5</v>
      </c>
      <c r="N126" s="46">
        <v>15</v>
      </c>
      <c r="O126" s="60">
        <v>25</v>
      </c>
      <c r="P126" s="46"/>
    </row>
    <row r="127" spans="1:16" x14ac:dyDescent="0.25">
      <c r="A127" s="66">
        <v>5.4704669862985611E-2</v>
      </c>
      <c r="B127" s="66">
        <v>5.5848521133884787E-3</v>
      </c>
      <c r="C127" s="66">
        <v>7.4731868124572387E-2</v>
      </c>
      <c r="D127" s="66" t="s">
        <v>41</v>
      </c>
      <c r="E127" s="66">
        <v>5.7176033311276564</v>
      </c>
      <c r="F127" s="46">
        <v>0</v>
      </c>
      <c r="G127" s="46">
        <v>0</v>
      </c>
      <c r="H127" s="46">
        <v>0</v>
      </c>
      <c r="I127" s="46">
        <v>0</v>
      </c>
      <c r="J127" s="46">
        <v>20</v>
      </c>
      <c r="K127" s="46">
        <v>25</v>
      </c>
      <c r="L127" s="46">
        <v>5</v>
      </c>
      <c r="M127" s="46">
        <v>10</v>
      </c>
      <c r="N127" s="46">
        <v>15</v>
      </c>
      <c r="O127" s="60">
        <v>25</v>
      </c>
      <c r="P127" s="46"/>
    </row>
    <row r="128" spans="1:16" x14ac:dyDescent="0.25">
      <c r="A128" s="66">
        <v>5.5553104728460312E-2</v>
      </c>
      <c r="B128" s="66">
        <v>5.7330759521573779E-3</v>
      </c>
      <c r="C128" s="66">
        <v>7.5717078338756433E-2</v>
      </c>
      <c r="D128" s="66" t="s">
        <v>41</v>
      </c>
      <c r="E128" s="66">
        <v>5.1536860729768046</v>
      </c>
      <c r="F128" s="46">
        <v>0</v>
      </c>
      <c r="G128" s="46">
        <v>0</v>
      </c>
      <c r="H128" s="46">
        <v>0</v>
      </c>
      <c r="I128" s="46">
        <v>0</v>
      </c>
      <c r="J128" s="46">
        <v>15</v>
      </c>
      <c r="K128" s="46">
        <v>25</v>
      </c>
      <c r="L128" s="46">
        <v>10</v>
      </c>
      <c r="M128" s="46">
        <v>10</v>
      </c>
      <c r="N128" s="46">
        <v>15</v>
      </c>
      <c r="O128" s="60">
        <v>25</v>
      </c>
      <c r="P128" s="46"/>
    </row>
    <row r="129" spans="1:16" x14ac:dyDescent="0.25">
      <c r="A129" s="66">
        <v>5.6755956262350082E-2</v>
      </c>
      <c r="B129" s="66">
        <v>6.084244876983576E-3</v>
      </c>
      <c r="C129" s="66">
        <v>7.8001569708458923E-2</v>
      </c>
      <c r="D129" s="66" t="s">
        <v>41</v>
      </c>
      <c r="E129" s="68">
        <v>6.25652645993741</v>
      </c>
      <c r="F129" s="46">
        <v>0</v>
      </c>
      <c r="G129" s="46">
        <v>0</v>
      </c>
      <c r="H129" s="46">
        <v>0</v>
      </c>
      <c r="I129" s="46">
        <v>0</v>
      </c>
      <c r="J129" s="46">
        <v>15</v>
      </c>
      <c r="K129" s="46">
        <v>25</v>
      </c>
      <c r="L129" s="46">
        <v>5</v>
      </c>
      <c r="M129" s="46">
        <v>15</v>
      </c>
      <c r="N129" s="46">
        <v>15</v>
      </c>
      <c r="O129" s="60">
        <v>25</v>
      </c>
      <c r="P129" s="46"/>
    </row>
    <row r="130" spans="1:16" x14ac:dyDescent="0.25">
      <c r="A130" s="67">
        <v>5.7604387402534485E-2</v>
      </c>
      <c r="B130" s="67">
        <v>6.2218764016870407E-3</v>
      </c>
      <c r="C130" s="67">
        <v>7.8878871706478157E-2</v>
      </c>
      <c r="D130" s="67" t="s">
        <v>41</v>
      </c>
      <c r="E130" s="67">
        <v>5.7237364129080062</v>
      </c>
      <c r="F130" s="57">
        <v>0</v>
      </c>
      <c r="G130" s="57">
        <v>0</v>
      </c>
      <c r="H130" s="57">
        <v>0</v>
      </c>
      <c r="I130" s="57">
        <v>0</v>
      </c>
      <c r="J130" s="57">
        <v>10</v>
      </c>
      <c r="K130" s="57">
        <v>25</v>
      </c>
      <c r="L130" s="57">
        <v>10</v>
      </c>
      <c r="M130" s="57">
        <v>15</v>
      </c>
      <c r="N130" s="57">
        <v>15</v>
      </c>
      <c r="O130" s="61">
        <v>25</v>
      </c>
      <c r="P130" s="46"/>
    </row>
    <row r="131" spans="1:16" x14ac:dyDescent="0.25">
      <c r="A131" s="66">
        <v>5.8546129614114761E-2</v>
      </c>
      <c r="B131" s="66">
        <v>6.4495658990927039E-3</v>
      </c>
      <c r="C131" s="66">
        <v>8.0309189381369703E-2</v>
      </c>
      <c r="D131" s="66" t="s">
        <v>41</v>
      </c>
      <c r="E131" s="66">
        <v>4.2129019948277833</v>
      </c>
      <c r="F131" s="46">
        <v>0</v>
      </c>
      <c r="G131" s="46">
        <v>0</v>
      </c>
      <c r="H131" s="46">
        <v>0</v>
      </c>
      <c r="I131" s="46">
        <v>0</v>
      </c>
      <c r="J131" s="46">
        <v>20</v>
      </c>
      <c r="K131" s="46">
        <v>15</v>
      </c>
      <c r="L131" s="46">
        <v>10</v>
      </c>
      <c r="M131" s="46">
        <v>10</v>
      </c>
      <c r="N131" s="46">
        <v>20</v>
      </c>
      <c r="O131" s="60">
        <v>25</v>
      </c>
      <c r="P131" s="46"/>
    </row>
    <row r="132" spans="1:16" x14ac:dyDescent="0.25">
      <c r="A132" s="66">
        <v>5.968639999628067E-2</v>
      </c>
      <c r="B132" s="66">
        <v>6.7221245210384948E-3</v>
      </c>
      <c r="C132" s="66">
        <v>8.1988563355132008E-2</v>
      </c>
      <c r="D132" s="66" t="s">
        <v>41</v>
      </c>
      <c r="E132" s="66">
        <v>4.1839519197898909</v>
      </c>
      <c r="F132" s="46">
        <v>0</v>
      </c>
      <c r="G132" s="46">
        <v>0</v>
      </c>
      <c r="H132" s="46">
        <v>0</v>
      </c>
      <c r="I132" s="46">
        <v>0</v>
      </c>
      <c r="J132" s="46">
        <v>5</v>
      </c>
      <c r="K132" s="46">
        <v>30</v>
      </c>
      <c r="L132" s="46">
        <v>10</v>
      </c>
      <c r="M132" s="46">
        <v>10</v>
      </c>
      <c r="N132" s="46">
        <v>20</v>
      </c>
      <c r="O132" s="60">
        <v>25</v>
      </c>
      <c r="P132" s="46"/>
    </row>
    <row r="133" spans="1:16" x14ac:dyDescent="0.25">
      <c r="A133" s="66">
        <v>6.0597412288188934E-2</v>
      </c>
      <c r="B133" s="66">
        <v>6.9247873785207043E-3</v>
      </c>
      <c r="C133" s="66">
        <v>8.3215307357004359E-2</v>
      </c>
      <c r="D133" s="66" t="s">
        <v>41</v>
      </c>
      <c r="E133" s="66">
        <v>4.7517692244077878</v>
      </c>
      <c r="F133" s="46">
        <v>0</v>
      </c>
      <c r="G133" s="46">
        <v>0</v>
      </c>
      <c r="H133" s="46">
        <v>0</v>
      </c>
      <c r="I133" s="46">
        <v>0</v>
      </c>
      <c r="J133" s="46">
        <v>15</v>
      </c>
      <c r="K133" s="46">
        <v>15</v>
      </c>
      <c r="L133" s="46">
        <v>10</v>
      </c>
      <c r="M133" s="46">
        <v>15</v>
      </c>
      <c r="N133" s="46">
        <v>20</v>
      </c>
      <c r="O133" s="60">
        <v>25</v>
      </c>
      <c r="P133" s="46"/>
    </row>
    <row r="134" spans="1:16" x14ac:dyDescent="0.25">
      <c r="A134" s="66">
        <v>6.1574660241603851E-2</v>
      </c>
      <c r="B134" s="66">
        <v>7.2127039474435151E-3</v>
      </c>
      <c r="C134" s="66">
        <v>8.492763947881464E-2</v>
      </c>
      <c r="D134" s="66" t="s">
        <v>41</v>
      </c>
      <c r="E134" s="68">
        <v>6.6650480742396638</v>
      </c>
      <c r="F134" s="46">
        <v>0</v>
      </c>
      <c r="G134" s="46">
        <v>0</v>
      </c>
      <c r="H134" s="46">
        <v>0</v>
      </c>
      <c r="I134" s="46">
        <v>0</v>
      </c>
      <c r="J134" s="46">
        <v>10</v>
      </c>
      <c r="K134" s="46">
        <v>25</v>
      </c>
      <c r="L134" s="46">
        <v>10</v>
      </c>
      <c r="M134" s="46">
        <v>10</v>
      </c>
      <c r="N134" s="46">
        <v>15</v>
      </c>
      <c r="O134" s="60">
        <v>30</v>
      </c>
      <c r="P134" s="46"/>
    </row>
    <row r="135" spans="1:16" x14ac:dyDescent="0.25">
      <c r="A135" s="67">
        <v>6.267942488193512E-2</v>
      </c>
      <c r="B135" s="67">
        <v>7.5679674465209245E-3</v>
      </c>
      <c r="C135" s="67">
        <v>8.6994065582204655E-2</v>
      </c>
      <c r="D135" s="67" t="s">
        <v>41</v>
      </c>
      <c r="E135" s="67">
        <v>3.4006227932785409</v>
      </c>
      <c r="F135" s="57">
        <v>0</v>
      </c>
      <c r="G135" s="57">
        <v>0</v>
      </c>
      <c r="H135" s="57">
        <v>0</v>
      </c>
      <c r="I135" s="57">
        <v>0</v>
      </c>
      <c r="J135" s="57">
        <v>10</v>
      </c>
      <c r="K135" s="57">
        <v>20</v>
      </c>
      <c r="L135" s="57">
        <v>10</v>
      </c>
      <c r="M135" s="57">
        <v>10</v>
      </c>
      <c r="N135" s="57">
        <v>25</v>
      </c>
      <c r="O135" s="61">
        <v>25</v>
      </c>
      <c r="P135" s="46"/>
    </row>
    <row r="136" spans="1:16" x14ac:dyDescent="0.25">
      <c r="A136" s="66">
        <v>6.3625946640968323E-2</v>
      </c>
      <c r="B136" s="66">
        <v>7.7186936279758809E-3</v>
      </c>
      <c r="C136" s="66">
        <v>8.7856096134394004E-2</v>
      </c>
      <c r="D136" s="66" t="s">
        <v>41</v>
      </c>
      <c r="E136" s="68">
        <v>7.3142825411466657</v>
      </c>
      <c r="F136" s="46">
        <v>0</v>
      </c>
      <c r="G136" s="46">
        <v>0</v>
      </c>
      <c r="H136" s="46">
        <v>0</v>
      </c>
      <c r="I136" s="46">
        <v>0</v>
      </c>
      <c r="J136" s="46">
        <v>5</v>
      </c>
      <c r="K136" s="46">
        <v>25</v>
      </c>
      <c r="L136" s="46">
        <v>10</v>
      </c>
      <c r="M136" s="46">
        <v>15</v>
      </c>
      <c r="N136" s="46">
        <v>15</v>
      </c>
      <c r="O136" s="60">
        <v>30</v>
      </c>
      <c r="P136" s="46"/>
    </row>
    <row r="137" spans="1:16" x14ac:dyDescent="0.25">
      <c r="A137" s="66">
        <v>6.4567685127258301E-2</v>
      </c>
      <c r="B137" s="66">
        <v>7.9561111883958806E-3</v>
      </c>
      <c r="C137" s="66">
        <v>8.9197035760141041E-2</v>
      </c>
      <c r="D137" s="66" t="s">
        <v>41</v>
      </c>
      <c r="E137" s="66">
        <v>5.6370548737990687</v>
      </c>
      <c r="F137" s="46">
        <v>0</v>
      </c>
      <c r="G137" s="46">
        <v>0</v>
      </c>
      <c r="H137" s="46">
        <v>0</v>
      </c>
      <c r="I137" s="46">
        <v>0</v>
      </c>
      <c r="J137" s="46">
        <v>15</v>
      </c>
      <c r="K137" s="46">
        <v>15</v>
      </c>
      <c r="L137" s="46">
        <v>10</v>
      </c>
      <c r="M137" s="46">
        <v>10</v>
      </c>
      <c r="N137" s="46">
        <v>20</v>
      </c>
      <c r="O137" s="60">
        <v>30</v>
      </c>
      <c r="P137" s="46"/>
    </row>
    <row r="138" spans="1:16" x14ac:dyDescent="0.25">
      <c r="A138" s="66">
        <v>6.5707959234714508E-2</v>
      </c>
      <c r="B138" s="66">
        <v>8.1937836064025771E-3</v>
      </c>
      <c r="C138" s="66">
        <v>9.0519520582041185E-2</v>
      </c>
      <c r="D138" s="66" t="s">
        <v>41</v>
      </c>
      <c r="E138" s="68">
        <v>6.0501205561573022</v>
      </c>
      <c r="F138" s="46">
        <v>0</v>
      </c>
      <c r="G138" s="46">
        <v>0</v>
      </c>
      <c r="H138" s="46">
        <v>0</v>
      </c>
      <c r="I138" s="46">
        <v>0</v>
      </c>
      <c r="J138" s="46">
        <v>0</v>
      </c>
      <c r="K138" s="46">
        <v>30</v>
      </c>
      <c r="L138" s="46">
        <v>10</v>
      </c>
      <c r="M138" s="46">
        <v>10</v>
      </c>
      <c r="N138" s="46">
        <v>20</v>
      </c>
      <c r="O138" s="60">
        <v>30</v>
      </c>
      <c r="P138" s="46"/>
    </row>
    <row r="139" spans="1:16" x14ac:dyDescent="0.25">
      <c r="A139" s="66">
        <v>6.6530719399452209E-2</v>
      </c>
      <c r="B139" s="66">
        <v>8.4219519398175194E-3</v>
      </c>
      <c r="C139" s="66">
        <v>9.1771193409574445E-2</v>
      </c>
      <c r="D139" s="66" t="s">
        <v>41</v>
      </c>
      <c r="E139" s="68">
        <v>7.1849295008183507</v>
      </c>
      <c r="F139" s="46">
        <v>0</v>
      </c>
      <c r="G139" s="46">
        <v>0</v>
      </c>
      <c r="H139" s="46">
        <v>0</v>
      </c>
      <c r="I139" s="46">
        <v>0</v>
      </c>
      <c r="J139" s="46">
        <v>5</v>
      </c>
      <c r="K139" s="46">
        <v>25</v>
      </c>
      <c r="L139" s="46">
        <v>5</v>
      </c>
      <c r="M139" s="46">
        <v>15</v>
      </c>
      <c r="N139" s="46">
        <v>20</v>
      </c>
      <c r="O139" s="60">
        <v>30</v>
      </c>
      <c r="P139" s="46"/>
    </row>
    <row r="140" spans="1:16" x14ac:dyDescent="0.25">
      <c r="A140" s="67">
        <v>6.7847497761249542E-2</v>
      </c>
      <c r="B140" s="67">
        <v>8.7443915731273587E-3</v>
      </c>
      <c r="C140" s="67">
        <v>9.351145156143903E-2</v>
      </c>
      <c r="D140" s="67" t="s">
        <v>41</v>
      </c>
      <c r="E140" s="71">
        <v>6.0114564751027348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20</v>
      </c>
      <c r="L140" s="57">
        <v>15</v>
      </c>
      <c r="M140" s="57">
        <v>15</v>
      </c>
      <c r="N140" s="57">
        <v>20</v>
      </c>
      <c r="O140" s="61">
        <v>30</v>
      </c>
      <c r="P140" s="46"/>
    </row>
    <row r="141" spans="1:16" x14ac:dyDescent="0.25">
      <c r="A141" s="66">
        <v>6.8700984120368958E-2</v>
      </c>
      <c r="B141" s="66">
        <v>9.0665438259020445E-3</v>
      </c>
      <c r="C141" s="66">
        <v>9.521840066868402E-2</v>
      </c>
      <c r="D141" s="66" t="s">
        <v>41</v>
      </c>
      <c r="E141" s="66">
        <v>5.0026947213856801</v>
      </c>
      <c r="F141" s="46">
        <v>0</v>
      </c>
      <c r="G141" s="46">
        <v>0</v>
      </c>
      <c r="H141" s="46">
        <v>0</v>
      </c>
      <c r="I141" s="46">
        <v>0</v>
      </c>
      <c r="J141" s="46">
        <v>5</v>
      </c>
      <c r="K141" s="46">
        <v>20</v>
      </c>
      <c r="L141" s="46">
        <v>10</v>
      </c>
      <c r="M141" s="46">
        <v>10</v>
      </c>
      <c r="N141" s="46">
        <v>25</v>
      </c>
      <c r="O141" s="60">
        <v>30</v>
      </c>
      <c r="P141" s="46"/>
    </row>
    <row r="142" spans="1:16" x14ac:dyDescent="0.25">
      <c r="A142" s="66">
        <v>6.9549418985843658E-2</v>
      </c>
      <c r="B142" s="66">
        <v>9.3492170854005963E-3</v>
      </c>
      <c r="C142" s="66">
        <v>9.6691349589301923E-2</v>
      </c>
      <c r="D142" s="66" t="s">
        <v>41</v>
      </c>
      <c r="E142" s="66">
        <v>4.5603566189888181</v>
      </c>
      <c r="F142" s="46">
        <v>0</v>
      </c>
      <c r="G142" s="46">
        <v>0</v>
      </c>
      <c r="H142" s="46">
        <v>0</v>
      </c>
      <c r="I142" s="46">
        <v>0</v>
      </c>
      <c r="J142" s="46">
        <v>0</v>
      </c>
      <c r="K142" s="46">
        <v>20</v>
      </c>
      <c r="L142" s="46">
        <v>15</v>
      </c>
      <c r="M142" s="46">
        <v>10</v>
      </c>
      <c r="N142" s="46">
        <v>25</v>
      </c>
      <c r="O142" s="60">
        <v>30</v>
      </c>
      <c r="P142" s="46"/>
    </row>
    <row r="143" spans="1:16" x14ac:dyDescent="0.25">
      <c r="A143" s="66">
        <v>7.0752270519733429E-2</v>
      </c>
      <c r="B143" s="66">
        <v>9.5856632990762598E-3</v>
      </c>
      <c r="C143" s="66">
        <v>9.7906400705348479E-2</v>
      </c>
      <c r="D143" s="66" t="s">
        <v>41</v>
      </c>
      <c r="E143" s="66">
        <v>5.6824349541549593</v>
      </c>
      <c r="F143" s="46">
        <v>0</v>
      </c>
      <c r="G143" s="46">
        <v>0</v>
      </c>
      <c r="H143" s="46">
        <v>0</v>
      </c>
      <c r="I143" s="46">
        <v>0</v>
      </c>
      <c r="J143" s="46">
        <v>0</v>
      </c>
      <c r="K143" s="46">
        <v>20</v>
      </c>
      <c r="L143" s="46">
        <v>10</v>
      </c>
      <c r="M143" s="46">
        <v>15</v>
      </c>
      <c r="N143" s="46">
        <v>25</v>
      </c>
      <c r="O143" s="60">
        <v>30</v>
      </c>
      <c r="P143" s="46"/>
    </row>
    <row r="144" spans="1:16" x14ac:dyDescent="0.25">
      <c r="A144" s="66">
        <v>7.157503068447113E-2</v>
      </c>
      <c r="B144" s="66">
        <v>1.0069596330286004E-2</v>
      </c>
      <c r="C144" s="66">
        <v>0.10034737829303765</v>
      </c>
      <c r="D144" s="66" t="s">
        <v>41</v>
      </c>
      <c r="E144" s="66">
        <v>5.8161583872065705</v>
      </c>
      <c r="F144" s="46">
        <v>0</v>
      </c>
      <c r="G144" s="46">
        <v>0</v>
      </c>
      <c r="H144" s="46">
        <v>0</v>
      </c>
      <c r="I144" s="46">
        <v>0</v>
      </c>
      <c r="J144" s="46">
        <v>5</v>
      </c>
      <c r="K144" s="46">
        <v>15</v>
      </c>
      <c r="L144" s="46">
        <v>5</v>
      </c>
      <c r="M144" s="46">
        <v>20</v>
      </c>
      <c r="N144" s="46">
        <v>25</v>
      </c>
      <c r="O144" s="60">
        <v>30</v>
      </c>
      <c r="P144" s="46"/>
    </row>
    <row r="145" spans="1:16" x14ac:dyDescent="0.25">
      <c r="A145" s="67">
        <v>7.2552278637886047E-2</v>
      </c>
      <c r="B145" s="67">
        <v>1.0285864897305146E-2</v>
      </c>
      <c r="C145" s="67">
        <v>0.10141925308986034</v>
      </c>
      <c r="D145" s="67" t="s">
        <v>41</v>
      </c>
      <c r="E145" s="71">
        <v>7.9161696997924063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25</v>
      </c>
      <c r="L145" s="57">
        <v>5</v>
      </c>
      <c r="M145" s="57">
        <v>15</v>
      </c>
      <c r="N145" s="57">
        <v>20</v>
      </c>
      <c r="O145" s="61">
        <v>35</v>
      </c>
      <c r="P145" s="46"/>
    </row>
    <row r="146" spans="1:16" x14ac:dyDescent="0.25">
      <c r="A146" s="66">
        <v>7.3657043278217316E-2</v>
      </c>
      <c r="B146" s="66">
        <v>1.0732699995860457E-2</v>
      </c>
      <c r="C146" s="66">
        <v>0.10359874514616699</v>
      </c>
      <c r="D146" s="66" t="s">
        <v>41</v>
      </c>
      <c r="E146" s="66">
        <v>4.4665107358181269</v>
      </c>
      <c r="F146" s="46">
        <v>0</v>
      </c>
      <c r="G146" s="46">
        <v>0</v>
      </c>
      <c r="H146" s="46">
        <v>0</v>
      </c>
      <c r="I146" s="46">
        <v>0</v>
      </c>
      <c r="J146" s="46">
        <v>0</v>
      </c>
      <c r="K146" s="46">
        <v>20</v>
      </c>
      <c r="L146" s="46">
        <v>5</v>
      </c>
      <c r="M146" s="46">
        <v>15</v>
      </c>
      <c r="N146" s="46">
        <v>30</v>
      </c>
      <c r="O146" s="60">
        <v>30</v>
      </c>
      <c r="P146" s="46"/>
    </row>
    <row r="147" spans="1:16" x14ac:dyDescent="0.25">
      <c r="A147" s="66">
        <v>7.4722543358802795E-2</v>
      </c>
      <c r="B147" s="66">
        <v>1.093393665854819E-2</v>
      </c>
      <c r="C147" s="66">
        <v>0.10456546589839395</v>
      </c>
      <c r="D147" s="66" t="s">
        <v>41</v>
      </c>
      <c r="E147" s="66">
        <v>5.9419742266902986</v>
      </c>
      <c r="F147" s="46">
        <v>0</v>
      </c>
      <c r="G147" s="46">
        <v>0</v>
      </c>
      <c r="H147" s="46">
        <v>0</v>
      </c>
      <c r="I147" s="46">
        <v>0</v>
      </c>
      <c r="J147" s="46">
        <v>0</v>
      </c>
      <c r="K147" s="46">
        <v>20</v>
      </c>
      <c r="L147" s="46">
        <v>10</v>
      </c>
      <c r="M147" s="46">
        <v>10</v>
      </c>
      <c r="N147" s="46">
        <v>25</v>
      </c>
      <c r="O147" s="60">
        <v>35</v>
      </c>
      <c r="P147" s="46"/>
    </row>
    <row r="148" spans="1:16" x14ac:dyDescent="0.25">
      <c r="A148" s="66">
        <v>7.5545303523540497E-2</v>
      </c>
      <c r="B148" s="66">
        <v>1.1261010463931596E-2</v>
      </c>
      <c r="C148" s="66">
        <v>0.10611790830925569</v>
      </c>
      <c r="D148" s="66" t="s">
        <v>41</v>
      </c>
      <c r="E148" s="68">
        <v>6.5013136321933036</v>
      </c>
      <c r="F148" s="46">
        <v>0</v>
      </c>
      <c r="G148" s="46">
        <v>0</v>
      </c>
      <c r="H148" s="46">
        <v>0</v>
      </c>
      <c r="I148" s="46">
        <v>0</v>
      </c>
      <c r="J148" s="46">
        <v>5</v>
      </c>
      <c r="K148" s="46">
        <v>15</v>
      </c>
      <c r="L148" s="46">
        <v>5</v>
      </c>
      <c r="M148" s="46">
        <v>15</v>
      </c>
      <c r="N148" s="46">
        <v>25</v>
      </c>
      <c r="O148" s="60">
        <v>35</v>
      </c>
      <c r="P148" s="46"/>
    </row>
    <row r="149" spans="1:16" x14ac:dyDescent="0.25">
      <c r="A149" s="66">
        <v>7.686208188533783E-2</v>
      </c>
      <c r="B149" s="66">
        <v>1.1672949971398337E-2</v>
      </c>
      <c r="C149" s="66">
        <v>0.10804142710737552</v>
      </c>
      <c r="D149" s="66" t="s">
        <v>41</v>
      </c>
      <c r="E149" s="66">
        <v>5.5807383076504955</v>
      </c>
      <c r="F149" s="46">
        <v>0</v>
      </c>
      <c r="G149" s="46">
        <v>0</v>
      </c>
      <c r="H149" s="46">
        <v>0</v>
      </c>
      <c r="I149" s="46">
        <v>0</v>
      </c>
      <c r="J149" s="46">
        <v>0</v>
      </c>
      <c r="K149" s="46">
        <v>10</v>
      </c>
      <c r="L149" s="46">
        <v>15</v>
      </c>
      <c r="M149" s="46">
        <v>15</v>
      </c>
      <c r="N149" s="46">
        <v>25</v>
      </c>
      <c r="O149" s="60">
        <v>35</v>
      </c>
      <c r="P149" s="46"/>
    </row>
    <row r="150" spans="1:16" x14ac:dyDescent="0.25">
      <c r="A150" s="67">
        <v>7.7596589922904968E-2</v>
      </c>
      <c r="B150" s="67">
        <v>1.1977615812793373E-2</v>
      </c>
      <c r="C150" s="67">
        <v>0.10944229444229216</v>
      </c>
      <c r="D150" s="67" t="s">
        <v>41</v>
      </c>
      <c r="E150" s="71">
        <v>6.8893190539371574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15</v>
      </c>
      <c r="L150" s="57">
        <v>5</v>
      </c>
      <c r="M150" s="57">
        <v>20</v>
      </c>
      <c r="N150" s="57">
        <v>25</v>
      </c>
      <c r="O150" s="61">
        <v>35</v>
      </c>
      <c r="P150" s="46"/>
    </row>
    <row r="151" spans="1:16" x14ac:dyDescent="0.25">
      <c r="A151" s="66">
        <v>7.8533276915550232E-2</v>
      </c>
      <c r="B151" s="66">
        <v>1.2377423350699246E-2</v>
      </c>
      <c r="C151" s="66">
        <v>0.11125386892463221</v>
      </c>
      <c r="D151" s="66" t="s">
        <v>41</v>
      </c>
      <c r="E151" s="66">
        <v>5.4156477901491327</v>
      </c>
      <c r="F151" s="46">
        <v>0</v>
      </c>
      <c r="G151" s="46">
        <v>0</v>
      </c>
      <c r="H151" s="46">
        <v>0</v>
      </c>
      <c r="I151" s="46">
        <v>0</v>
      </c>
      <c r="J151" s="46">
        <v>0</v>
      </c>
      <c r="K151" s="46">
        <v>5</v>
      </c>
      <c r="L151" s="46">
        <v>15</v>
      </c>
      <c r="M151" s="46">
        <v>20</v>
      </c>
      <c r="N151" s="46">
        <v>25</v>
      </c>
      <c r="O151" s="60">
        <v>35</v>
      </c>
      <c r="P151" s="46"/>
    </row>
    <row r="152" spans="1:16" x14ac:dyDescent="0.25">
      <c r="A152" s="66">
        <v>7.9766854643821716E-2</v>
      </c>
      <c r="B152" s="66">
        <v>1.2730900977039708E-2</v>
      </c>
      <c r="C152" s="66">
        <v>0.11283129431607043</v>
      </c>
      <c r="D152" s="66" t="s">
        <v>41</v>
      </c>
      <c r="E152" s="66">
        <v>5.0512132336493876</v>
      </c>
      <c r="F152" s="46">
        <v>0</v>
      </c>
      <c r="G152" s="46">
        <v>0</v>
      </c>
      <c r="H152" s="46">
        <v>0</v>
      </c>
      <c r="I152" s="46">
        <v>0</v>
      </c>
      <c r="J152" s="46">
        <v>0</v>
      </c>
      <c r="K152" s="46">
        <v>10</v>
      </c>
      <c r="L152" s="46">
        <v>10</v>
      </c>
      <c r="M152" s="46">
        <v>15</v>
      </c>
      <c r="N152" s="46">
        <v>30</v>
      </c>
      <c r="O152" s="60">
        <v>35</v>
      </c>
      <c r="P152" s="46"/>
    </row>
    <row r="153" spans="1:16" x14ac:dyDescent="0.25">
      <c r="A153" s="66">
        <v>8.0501362681388855E-2</v>
      </c>
      <c r="B153" s="66">
        <v>1.322719020769E-2</v>
      </c>
      <c r="C153" s="66">
        <v>0.11500952224789911</v>
      </c>
      <c r="D153" s="66" t="s">
        <v>41</v>
      </c>
      <c r="E153" s="66">
        <v>5.6635466553208262</v>
      </c>
      <c r="F153" s="46">
        <v>0</v>
      </c>
      <c r="G153" s="46">
        <v>0</v>
      </c>
      <c r="H153" s="46">
        <v>0</v>
      </c>
      <c r="I153" s="46">
        <v>0</v>
      </c>
      <c r="J153" s="46">
        <v>0</v>
      </c>
      <c r="K153" s="46">
        <v>15</v>
      </c>
      <c r="L153" s="46">
        <v>0</v>
      </c>
      <c r="M153" s="46">
        <v>20</v>
      </c>
      <c r="N153" s="46">
        <v>30</v>
      </c>
      <c r="O153" s="60">
        <v>35</v>
      </c>
      <c r="P153" s="46"/>
    </row>
    <row r="154" spans="1:16" x14ac:dyDescent="0.25">
      <c r="A154" s="66">
        <v>8.1566862761974335E-2</v>
      </c>
      <c r="B154" s="66">
        <v>1.3520657168701293E-2</v>
      </c>
      <c r="C154" s="66">
        <v>0.11627836070697459</v>
      </c>
      <c r="D154" s="66" t="s">
        <v>41</v>
      </c>
      <c r="E154" s="68">
        <v>6.789484093677614</v>
      </c>
      <c r="F154" s="46">
        <v>0</v>
      </c>
      <c r="G154" s="46">
        <v>0</v>
      </c>
      <c r="H154" s="46">
        <v>0</v>
      </c>
      <c r="I154" s="46">
        <v>0</v>
      </c>
      <c r="J154" s="46">
        <v>0</v>
      </c>
      <c r="K154" s="46">
        <v>15</v>
      </c>
      <c r="L154" s="46">
        <v>5</v>
      </c>
      <c r="M154" s="46">
        <v>15</v>
      </c>
      <c r="N154" s="46">
        <v>25</v>
      </c>
      <c r="O154" s="60">
        <v>40</v>
      </c>
      <c r="P154" s="46"/>
    </row>
    <row r="155" spans="1:16" x14ac:dyDescent="0.25">
      <c r="A155" s="67">
        <v>8.2503542304039001E-2</v>
      </c>
      <c r="B155" s="67">
        <v>1.4002526386175307E-2</v>
      </c>
      <c r="C155" s="67">
        <v>0.11833227111052719</v>
      </c>
      <c r="D155" s="67" t="s">
        <v>41</v>
      </c>
      <c r="E155" s="67">
        <v>5.435235117395858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5</v>
      </c>
      <c r="L155" s="57">
        <v>15</v>
      </c>
      <c r="M155" s="57">
        <v>15</v>
      </c>
      <c r="N155" s="57">
        <v>25</v>
      </c>
      <c r="O155" s="61">
        <v>40</v>
      </c>
      <c r="P155" s="46"/>
    </row>
    <row r="156" spans="1:16" x14ac:dyDescent="0.25">
      <c r="A156" s="66">
        <v>8.3706393837928772E-2</v>
      </c>
      <c r="B156" s="66">
        <v>1.4457004006253557E-2</v>
      </c>
      <c r="C156" s="66">
        <v>0.12023728209774852</v>
      </c>
      <c r="D156" s="66" t="s">
        <v>41</v>
      </c>
      <c r="E156" s="68">
        <v>6.1450575373062692</v>
      </c>
      <c r="F156" s="46">
        <v>0</v>
      </c>
      <c r="G156" s="46">
        <v>0</v>
      </c>
      <c r="H156" s="46">
        <v>0</v>
      </c>
      <c r="I156" s="46">
        <v>0</v>
      </c>
      <c r="J156" s="46">
        <v>0</v>
      </c>
      <c r="K156" s="46">
        <v>5</v>
      </c>
      <c r="L156" s="46">
        <v>10</v>
      </c>
      <c r="M156" s="46">
        <v>20</v>
      </c>
      <c r="N156" s="46">
        <v>25</v>
      </c>
      <c r="O156" s="60">
        <v>40</v>
      </c>
      <c r="P156" s="46"/>
    </row>
    <row r="157" spans="1:16" x14ac:dyDescent="0.25">
      <c r="A157" s="66">
        <v>8.4939979016780853E-2</v>
      </c>
      <c r="B157" s="66">
        <v>1.4838404718320819E-2</v>
      </c>
      <c r="C157" s="66">
        <v>0.12181299076174437</v>
      </c>
      <c r="D157" s="66" t="s">
        <v>41</v>
      </c>
      <c r="E157" s="66">
        <v>5.6303030216936856</v>
      </c>
      <c r="F157" s="46">
        <v>0</v>
      </c>
      <c r="G157" s="46">
        <v>0</v>
      </c>
      <c r="H157" s="46">
        <v>0</v>
      </c>
      <c r="I157" s="46">
        <v>0</v>
      </c>
      <c r="J157" s="46">
        <v>0</v>
      </c>
      <c r="K157" s="46">
        <v>10</v>
      </c>
      <c r="L157" s="46">
        <v>5</v>
      </c>
      <c r="M157" s="46">
        <v>15</v>
      </c>
      <c r="N157" s="46">
        <v>30</v>
      </c>
      <c r="O157" s="60">
        <v>40</v>
      </c>
      <c r="P157" s="46"/>
    </row>
    <row r="158" spans="1:16" x14ac:dyDescent="0.25">
      <c r="A158" s="66">
        <v>8.587665855884552E-2</v>
      </c>
      <c r="B158" s="66">
        <v>1.5398716481868179E-2</v>
      </c>
      <c r="C158" s="66">
        <v>0.12409156491022337</v>
      </c>
      <c r="D158" s="66" t="s">
        <v>41</v>
      </c>
      <c r="E158" s="66">
        <v>4.4938434495407522</v>
      </c>
      <c r="F158" s="46">
        <v>0</v>
      </c>
      <c r="G158" s="46">
        <v>0</v>
      </c>
      <c r="H158" s="46">
        <v>0</v>
      </c>
      <c r="I158" s="46">
        <v>0</v>
      </c>
      <c r="J158" s="46">
        <v>0</v>
      </c>
      <c r="K158" s="46">
        <v>0</v>
      </c>
      <c r="L158" s="46">
        <v>15</v>
      </c>
      <c r="M158" s="46">
        <v>15</v>
      </c>
      <c r="N158" s="46">
        <v>30</v>
      </c>
      <c r="O158" s="60">
        <v>40</v>
      </c>
      <c r="P158" s="46"/>
    </row>
    <row r="159" spans="1:16" x14ac:dyDescent="0.25">
      <c r="A159" s="66">
        <v>8.6611174046993256E-2</v>
      </c>
      <c r="B159" s="66">
        <v>1.5617492710007357E-2</v>
      </c>
      <c r="C159" s="66">
        <v>0.12496996723216085</v>
      </c>
      <c r="D159" s="66" t="s">
        <v>41</v>
      </c>
      <c r="E159" s="66">
        <v>5.6626047188847011</v>
      </c>
      <c r="F159" s="46">
        <v>0</v>
      </c>
      <c r="G159" s="46">
        <v>0</v>
      </c>
      <c r="H159" s="46">
        <v>0</v>
      </c>
      <c r="I159" s="46">
        <v>0</v>
      </c>
      <c r="J159" s="46">
        <v>0</v>
      </c>
      <c r="K159" s="46">
        <v>5</v>
      </c>
      <c r="L159" s="46">
        <v>5</v>
      </c>
      <c r="M159" s="46">
        <v>20</v>
      </c>
      <c r="N159" s="46">
        <v>30</v>
      </c>
      <c r="O159" s="60">
        <v>40</v>
      </c>
      <c r="P159" s="46"/>
    </row>
    <row r="160" spans="1:16" x14ac:dyDescent="0.25">
      <c r="A160" s="67">
        <v>8.784475177526474E-2</v>
      </c>
      <c r="B160" s="67">
        <v>1.6283112687524408E-2</v>
      </c>
      <c r="C160" s="67">
        <v>0.12760530038961707</v>
      </c>
      <c r="D160" s="67" t="s">
        <v>41</v>
      </c>
      <c r="E160" s="67">
        <v>4.4998607033644724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10</v>
      </c>
      <c r="L160" s="57">
        <v>0</v>
      </c>
      <c r="M160" s="57">
        <v>15</v>
      </c>
      <c r="N160" s="57">
        <v>35</v>
      </c>
      <c r="O160" s="61">
        <v>40</v>
      </c>
      <c r="P160" s="46"/>
    </row>
    <row r="161" spans="1:16" x14ac:dyDescent="0.25">
      <c r="A161" s="66">
        <v>8.8781431317329407E-2</v>
      </c>
      <c r="B161" s="66">
        <v>1.6673346767202019E-2</v>
      </c>
      <c r="C161" s="66">
        <v>0.12912531419981915</v>
      </c>
      <c r="D161" s="66" t="s">
        <v>41</v>
      </c>
      <c r="E161" s="66">
        <v>3.9781423025603657</v>
      </c>
      <c r="F161" s="46">
        <v>0</v>
      </c>
      <c r="G161" s="46">
        <v>0</v>
      </c>
      <c r="H161" s="46">
        <v>0</v>
      </c>
      <c r="I161" s="46">
        <v>0</v>
      </c>
      <c r="J161" s="46">
        <v>0</v>
      </c>
      <c r="K161" s="46">
        <v>0</v>
      </c>
      <c r="L161" s="46">
        <v>10</v>
      </c>
      <c r="M161" s="46">
        <v>15</v>
      </c>
      <c r="N161" s="46">
        <v>35</v>
      </c>
      <c r="O161" s="60">
        <v>40</v>
      </c>
      <c r="P161" s="46"/>
    </row>
    <row r="162" spans="1:16" x14ac:dyDescent="0.25">
      <c r="A162" s="66">
        <v>8.9515946805477142E-2</v>
      </c>
      <c r="B162" s="66">
        <v>1.7083746384596452E-2</v>
      </c>
      <c r="C162" s="66">
        <v>0.13070480627963324</v>
      </c>
      <c r="D162" s="66" t="s">
        <v>41</v>
      </c>
      <c r="E162" s="66">
        <v>4.6538488341364168</v>
      </c>
      <c r="F162" s="46">
        <v>0</v>
      </c>
      <c r="G162" s="46">
        <v>0</v>
      </c>
      <c r="H162" s="46">
        <v>0</v>
      </c>
      <c r="I162" s="46">
        <v>0</v>
      </c>
      <c r="J162" s="46">
        <v>0</v>
      </c>
      <c r="K162" s="46">
        <v>5</v>
      </c>
      <c r="L162" s="46">
        <v>0</v>
      </c>
      <c r="M162" s="46">
        <v>20</v>
      </c>
      <c r="N162" s="46">
        <v>35</v>
      </c>
      <c r="O162" s="60">
        <v>40</v>
      </c>
      <c r="P162" s="46"/>
    </row>
    <row r="163" spans="1:16" x14ac:dyDescent="0.25">
      <c r="A163" s="66">
        <v>9.0581446886062622E-2</v>
      </c>
      <c r="B163" s="66">
        <v>1.7552657552296295E-2</v>
      </c>
      <c r="C163" s="66">
        <v>0.13248644290000502</v>
      </c>
      <c r="D163" s="66" t="s">
        <v>41</v>
      </c>
      <c r="E163" s="66">
        <v>5.3613795555116406</v>
      </c>
      <c r="F163" s="46">
        <v>0</v>
      </c>
      <c r="G163" s="46">
        <v>0</v>
      </c>
      <c r="H163" s="46">
        <v>0</v>
      </c>
      <c r="I163" s="46">
        <v>0</v>
      </c>
      <c r="J163" s="46">
        <v>0</v>
      </c>
      <c r="K163" s="46">
        <v>5</v>
      </c>
      <c r="L163" s="46">
        <v>5</v>
      </c>
      <c r="M163" s="46">
        <v>15</v>
      </c>
      <c r="N163" s="46">
        <v>30</v>
      </c>
      <c r="O163" s="60">
        <v>45</v>
      </c>
      <c r="P163" s="46"/>
    </row>
    <row r="164" spans="1:16" x14ac:dyDescent="0.25">
      <c r="A164" s="66">
        <v>9.1784298419952393E-2</v>
      </c>
      <c r="B164" s="66">
        <v>1.82388383615762E-2</v>
      </c>
      <c r="C164" s="66">
        <v>0.13505124346549424</v>
      </c>
      <c r="D164" s="66" t="s">
        <v>41</v>
      </c>
      <c r="E164" s="66">
        <v>5.6866905292703001</v>
      </c>
      <c r="F164" s="46">
        <v>0</v>
      </c>
      <c r="G164" s="46">
        <v>0</v>
      </c>
      <c r="H164" s="46">
        <v>0</v>
      </c>
      <c r="I164" s="46">
        <v>0</v>
      </c>
      <c r="J164" s="46">
        <v>0</v>
      </c>
      <c r="K164" s="46">
        <v>5</v>
      </c>
      <c r="L164" s="46">
        <v>0</v>
      </c>
      <c r="M164" s="46">
        <v>20</v>
      </c>
      <c r="N164" s="46">
        <v>30</v>
      </c>
      <c r="O164" s="60">
        <v>45</v>
      </c>
      <c r="P164" s="46"/>
    </row>
    <row r="165" spans="1:16" x14ac:dyDescent="0.25">
      <c r="A165" s="67">
        <v>9.2751704156398773E-2</v>
      </c>
      <c r="B165" s="67">
        <v>1.8805867099435998E-2</v>
      </c>
      <c r="C165" s="67">
        <v>0.13713448544926982</v>
      </c>
      <c r="D165" s="67" t="s">
        <v>41</v>
      </c>
      <c r="E165" s="67">
        <v>3.7087131730015086</v>
      </c>
      <c r="F165" s="57">
        <v>0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10</v>
      </c>
      <c r="M165" s="57">
        <v>10</v>
      </c>
      <c r="N165" s="57">
        <v>35</v>
      </c>
      <c r="O165" s="61">
        <v>45</v>
      </c>
      <c r="P165" s="46"/>
    </row>
    <row r="166" spans="1:16" x14ac:dyDescent="0.25">
      <c r="A166" s="66">
        <v>9.3954555690288544E-2</v>
      </c>
      <c r="B166" s="66">
        <v>1.9178516034735367E-2</v>
      </c>
      <c r="C166" s="66">
        <v>0.13848651932493417</v>
      </c>
      <c r="D166" s="66" t="s">
        <v>41</v>
      </c>
      <c r="E166" s="66">
        <v>4.3419686049767954</v>
      </c>
      <c r="F166" s="46">
        <v>0</v>
      </c>
      <c r="G166" s="46">
        <v>0</v>
      </c>
      <c r="H166" s="46">
        <v>0</v>
      </c>
      <c r="I166" s="46">
        <v>0</v>
      </c>
      <c r="J166" s="46">
        <v>0</v>
      </c>
      <c r="K166" s="46">
        <v>0</v>
      </c>
      <c r="L166" s="46">
        <v>5</v>
      </c>
      <c r="M166" s="46">
        <v>15</v>
      </c>
      <c r="N166" s="46">
        <v>35</v>
      </c>
      <c r="O166" s="60">
        <v>45</v>
      </c>
      <c r="P166" s="46"/>
    </row>
    <row r="167" spans="1:16" x14ac:dyDescent="0.25">
      <c r="A167" s="66">
        <v>9.5157407224178314E-2</v>
      </c>
      <c r="B167" s="66">
        <v>1.9858200816670432E-2</v>
      </c>
      <c r="C167" s="66">
        <v>0.14091912864004813</v>
      </c>
      <c r="D167" s="66" t="s">
        <v>41</v>
      </c>
      <c r="E167" s="66">
        <v>4.6816264821619642</v>
      </c>
      <c r="F167" s="46">
        <v>0</v>
      </c>
      <c r="G167" s="46">
        <v>0</v>
      </c>
      <c r="H167" s="46">
        <v>0</v>
      </c>
      <c r="I167" s="46">
        <v>0</v>
      </c>
      <c r="J167" s="46">
        <v>0</v>
      </c>
      <c r="K167" s="46">
        <v>0</v>
      </c>
      <c r="L167" s="46">
        <v>0</v>
      </c>
      <c r="M167" s="46">
        <v>20</v>
      </c>
      <c r="N167" s="46">
        <v>35</v>
      </c>
      <c r="O167" s="60">
        <v>45</v>
      </c>
      <c r="P167" s="46"/>
    </row>
    <row r="168" spans="1:16" x14ac:dyDescent="0.25">
      <c r="A168" s="66">
        <v>9.565647691488266E-2</v>
      </c>
      <c r="B168" s="66">
        <v>2.0360669801011682E-2</v>
      </c>
      <c r="C168" s="66">
        <v>0.14269081890931765</v>
      </c>
      <c r="D168" s="66" t="s">
        <v>41</v>
      </c>
      <c r="E168" s="66">
        <v>3.0341957367911645</v>
      </c>
      <c r="F168" s="46">
        <v>0</v>
      </c>
      <c r="G168" s="46">
        <v>0</v>
      </c>
      <c r="H168" s="46">
        <v>0</v>
      </c>
      <c r="I168" s="46">
        <v>0</v>
      </c>
      <c r="J168" s="46">
        <v>0</v>
      </c>
      <c r="K168" s="46">
        <v>0</v>
      </c>
      <c r="L168" s="46">
        <v>5</v>
      </c>
      <c r="M168" s="46">
        <v>10</v>
      </c>
      <c r="N168" s="46">
        <v>40</v>
      </c>
      <c r="O168" s="60">
        <v>45</v>
      </c>
      <c r="P168" s="46"/>
    </row>
    <row r="169" spans="1:16" x14ac:dyDescent="0.25">
      <c r="A169" s="66">
        <v>9.685932844877243E-2</v>
      </c>
      <c r="B169" s="66">
        <v>2.0839903283631431E-2</v>
      </c>
      <c r="C169" s="66">
        <v>0.14436032447882427</v>
      </c>
      <c r="D169" s="66" t="s">
        <v>41</v>
      </c>
      <c r="E169" s="66">
        <v>3.4869659999730924</v>
      </c>
      <c r="F169" s="46">
        <v>0</v>
      </c>
      <c r="G169" s="46">
        <v>0</v>
      </c>
      <c r="H169" s="46">
        <v>0</v>
      </c>
      <c r="I169" s="46">
        <v>0</v>
      </c>
      <c r="J169" s="46">
        <v>0</v>
      </c>
      <c r="K169" s="46">
        <v>0</v>
      </c>
      <c r="L169" s="46">
        <v>0</v>
      </c>
      <c r="M169" s="46">
        <v>15</v>
      </c>
      <c r="N169" s="46">
        <v>40</v>
      </c>
      <c r="O169" s="60">
        <v>45</v>
      </c>
      <c r="P169" s="46"/>
    </row>
    <row r="170" spans="1:16" x14ac:dyDescent="0.25">
      <c r="A170" s="67">
        <v>9.792482852935791E-2</v>
      </c>
      <c r="B170" s="67">
        <v>2.1646690728375689E-2</v>
      </c>
      <c r="C170" s="67">
        <v>0.14712814390311491</v>
      </c>
      <c r="D170" s="67" t="s">
        <v>41</v>
      </c>
      <c r="E170" s="67">
        <v>3.8808564419793101</v>
      </c>
      <c r="F170" s="57">
        <v>0</v>
      </c>
      <c r="G170" s="57">
        <v>0</v>
      </c>
      <c r="H170" s="57">
        <v>0</v>
      </c>
      <c r="I170" s="57">
        <v>0</v>
      </c>
      <c r="J170" s="57">
        <v>0</v>
      </c>
      <c r="K170" s="57">
        <v>0</v>
      </c>
      <c r="L170" s="57">
        <v>5</v>
      </c>
      <c r="M170" s="57">
        <v>10</v>
      </c>
      <c r="N170" s="57">
        <v>35</v>
      </c>
      <c r="O170" s="61">
        <v>50</v>
      </c>
      <c r="P170" s="46"/>
    </row>
    <row r="171" spans="1:16" x14ac:dyDescent="0.25">
      <c r="A171" s="66">
        <v>9.9127680063247681E-2</v>
      </c>
      <c r="B171" s="66">
        <v>2.2144458305556326E-2</v>
      </c>
      <c r="C171" s="66">
        <v>0.1488101418101479</v>
      </c>
      <c r="D171" s="66" t="s">
        <v>41</v>
      </c>
      <c r="E171" s="66">
        <v>4.3593278078153856</v>
      </c>
      <c r="F171" s="46">
        <v>0</v>
      </c>
      <c r="G171" s="46">
        <v>0</v>
      </c>
      <c r="H171" s="46">
        <v>0</v>
      </c>
      <c r="I171" s="46">
        <v>0</v>
      </c>
      <c r="J171" s="46">
        <v>0</v>
      </c>
      <c r="K171" s="46">
        <v>0</v>
      </c>
      <c r="L171" s="46">
        <v>0</v>
      </c>
      <c r="M171" s="46">
        <v>15</v>
      </c>
      <c r="N171" s="46">
        <v>35</v>
      </c>
      <c r="O171" s="60">
        <v>50</v>
      </c>
      <c r="P171" s="46"/>
    </row>
    <row r="172" spans="1:16" x14ac:dyDescent="0.25">
      <c r="A172" s="66">
        <v>9.9626749753952026E-2</v>
      </c>
      <c r="B172" s="66">
        <v>2.2985169144812974E-2</v>
      </c>
      <c r="C172" s="66">
        <v>0.15160860511466021</v>
      </c>
      <c r="D172" s="66" t="s">
        <v>41</v>
      </c>
      <c r="E172" s="66">
        <v>2.697474490156186</v>
      </c>
      <c r="F172" s="46">
        <v>0</v>
      </c>
      <c r="G172" s="46">
        <v>0</v>
      </c>
      <c r="H172" s="46">
        <v>0</v>
      </c>
      <c r="I172" s="46">
        <v>0</v>
      </c>
      <c r="J172" s="46">
        <v>0</v>
      </c>
      <c r="K172" s="46">
        <v>0</v>
      </c>
      <c r="L172" s="46">
        <v>5</v>
      </c>
      <c r="M172" s="46">
        <v>5</v>
      </c>
      <c r="N172" s="46">
        <v>40</v>
      </c>
      <c r="O172" s="60">
        <v>50</v>
      </c>
      <c r="P172" s="46"/>
    </row>
    <row r="173" spans="1:16" x14ac:dyDescent="0.25">
      <c r="A173" s="66">
        <v>0.1008296012878418</v>
      </c>
      <c r="B173" s="66">
        <v>2.3282485422678294E-2</v>
      </c>
      <c r="C173" s="66">
        <v>0.15258599353373917</v>
      </c>
      <c r="D173" s="66" t="s">
        <v>41</v>
      </c>
      <c r="E173" s="66">
        <v>3.2196999294952735</v>
      </c>
      <c r="F173" s="46">
        <v>0</v>
      </c>
      <c r="G173" s="46">
        <v>0</v>
      </c>
      <c r="H173" s="46">
        <v>0</v>
      </c>
      <c r="I173" s="46">
        <v>0</v>
      </c>
      <c r="J173" s="46">
        <v>0</v>
      </c>
      <c r="K173" s="46">
        <v>0</v>
      </c>
      <c r="L173" s="46">
        <v>0</v>
      </c>
      <c r="M173" s="46">
        <v>10</v>
      </c>
      <c r="N173" s="46">
        <v>40</v>
      </c>
      <c r="O173" s="60">
        <v>50</v>
      </c>
      <c r="P173" s="46"/>
    </row>
    <row r="174" spans="1:16" x14ac:dyDescent="0.25">
      <c r="A174" s="66">
        <v>0.10189510136842728</v>
      </c>
      <c r="B174" s="66">
        <v>2.4632436988176781E-2</v>
      </c>
      <c r="C174" s="66">
        <v>0.15694724269058308</v>
      </c>
      <c r="D174" s="66" t="s">
        <v>41</v>
      </c>
      <c r="E174" s="66">
        <v>3.2949419502533663</v>
      </c>
      <c r="F174" s="46">
        <v>0</v>
      </c>
      <c r="G174" s="46">
        <v>0</v>
      </c>
      <c r="H174" s="46">
        <v>0</v>
      </c>
      <c r="I174" s="46">
        <v>0</v>
      </c>
      <c r="J174" s="46">
        <v>0</v>
      </c>
      <c r="K174" s="46">
        <v>0</v>
      </c>
      <c r="L174" s="46">
        <v>5</v>
      </c>
      <c r="M174" s="46">
        <v>5</v>
      </c>
      <c r="N174" s="46">
        <v>35</v>
      </c>
      <c r="O174" s="60">
        <v>55</v>
      </c>
      <c r="P174" s="46"/>
    </row>
    <row r="175" spans="1:16" x14ac:dyDescent="0.25">
      <c r="A175" s="67">
        <v>0.10253152251243591</v>
      </c>
      <c r="B175" s="67">
        <v>2.4820144262630493E-2</v>
      </c>
      <c r="C175" s="67">
        <v>0.15754410259552876</v>
      </c>
      <c r="D175" s="67" t="s">
        <v>41</v>
      </c>
      <c r="E175" s="67">
        <v>2.0709309253958716</v>
      </c>
      <c r="F175" s="57">
        <v>0</v>
      </c>
      <c r="G175" s="57">
        <v>0</v>
      </c>
      <c r="H175" s="57">
        <v>0</v>
      </c>
      <c r="I175" s="57">
        <v>0</v>
      </c>
      <c r="J175" s="57">
        <v>0</v>
      </c>
      <c r="K175" s="57">
        <v>0</v>
      </c>
      <c r="L175" s="57">
        <v>0</v>
      </c>
      <c r="M175" s="57">
        <v>5</v>
      </c>
      <c r="N175" s="57">
        <v>45</v>
      </c>
      <c r="O175" s="61">
        <v>50</v>
      </c>
      <c r="P175" s="46"/>
    </row>
    <row r="176" spans="1:16" x14ac:dyDescent="0.25">
      <c r="A176" s="66">
        <v>0.10359702259302139</v>
      </c>
      <c r="B176" s="66">
        <v>2.6127240054775035E-2</v>
      </c>
      <c r="C176" s="66">
        <v>0.16163922808147482</v>
      </c>
      <c r="D176" s="66" t="s">
        <v>41</v>
      </c>
      <c r="E176" s="66">
        <v>2.2983876853228864</v>
      </c>
      <c r="F176" s="46">
        <v>0</v>
      </c>
      <c r="G176" s="46">
        <v>0</v>
      </c>
      <c r="H176" s="46">
        <v>0</v>
      </c>
      <c r="I176" s="46">
        <v>0</v>
      </c>
      <c r="J176" s="46">
        <v>0</v>
      </c>
      <c r="K176" s="46">
        <v>0</v>
      </c>
      <c r="L176" s="46">
        <v>5</v>
      </c>
      <c r="M176" s="46">
        <v>0</v>
      </c>
      <c r="N176" s="46">
        <v>40</v>
      </c>
      <c r="O176" s="60">
        <v>55</v>
      </c>
      <c r="P176" s="46"/>
    </row>
    <row r="177" spans="1:16" x14ac:dyDescent="0.25">
      <c r="A177" s="66">
        <v>0.10479987412691116</v>
      </c>
      <c r="B177" s="66">
        <v>2.6242639127885926E-2</v>
      </c>
      <c r="C177" s="66">
        <v>0.16199579972297407</v>
      </c>
      <c r="D177" s="66" t="s">
        <v>41</v>
      </c>
      <c r="E177" s="66">
        <v>2.8075027618175969</v>
      </c>
      <c r="F177" s="46">
        <v>0</v>
      </c>
      <c r="G177" s="46">
        <v>0</v>
      </c>
      <c r="H177" s="46">
        <v>0</v>
      </c>
      <c r="I177" s="46">
        <v>0</v>
      </c>
      <c r="J177" s="46">
        <v>0</v>
      </c>
      <c r="K177" s="46">
        <v>0</v>
      </c>
      <c r="L177" s="46">
        <v>0</v>
      </c>
      <c r="M177" s="46">
        <v>5</v>
      </c>
      <c r="N177" s="46">
        <v>40</v>
      </c>
      <c r="O177" s="60">
        <v>55</v>
      </c>
      <c r="P177" s="46"/>
    </row>
    <row r="178" spans="1:16" x14ac:dyDescent="0.25">
      <c r="A178" s="66">
        <v>0.10650179535150528</v>
      </c>
      <c r="B178" s="66">
        <v>2.7936622617999098E-2</v>
      </c>
      <c r="C178" s="66">
        <v>0.16714252187279902</v>
      </c>
      <c r="D178" s="66" t="s">
        <v>41</v>
      </c>
      <c r="E178" s="66">
        <v>1.8209784668197118</v>
      </c>
      <c r="F178" s="46">
        <v>0</v>
      </c>
      <c r="G178" s="46">
        <v>0</v>
      </c>
      <c r="H178" s="46">
        <v>0</v>
      </c>
      <c r="I178" s="46">
        <v>0</v>
      </c>
      <c r="J178" s="46">
        <v>0</v>
      </c>
      <c r="K178" s="46">
        <v>0</v>
      </c>
      <c r="L178" s="46">
        <v>0</v>
      </c>
      <c r="M178" s="46">
        <v>0</v>
      </c>
      <c r="N178" s="46">
        <v>45</v>
      </c>
      <c r="O178" s="60">
        <v>55</v>
      </c>
      <c r="P178" s="46"/>
    </row>
    <row r="179" spans="1:16" x14ac:dyDescent="0.25">
      <c r="A179" s="66">
        <v>0.10877014696598053</v>
      </c>
      <c r="B179" s="66">
        <v>2.9720364399254323E-2</v>
      </c>
      <c r="C179" s="66">
        <v>0.17239595238651725</v>
      </c>
      <c r="D179" s="66" t="s">
        <v>41</v>
      </c>
      <c r="E179" s="66">
        <v>2.3835731341501525</v>
      </c>
      <c r="F179" s="46">
        <v>0</v>
      </c>
      <c r="G179" s="46">
        <v>0</v>
      </c>
      <c r="H179" s="46">
        <v>0</v>
      </c>
      <c r="I179" s="46">
        <v>0</v>
      </c>
      <c r="J179" s="46">
        <v>0</v>
      </c>
      <c r="K179" s="46">
        <v>0</v>
      </c>
      <c r="L179" s="46">
        <v>0</v>
      </c>
      <c r="M179" s="46">
        <v>0</v>
      </c>
      <c r="N179" s="46">
        <v>40</v>
      </c>
      <c r="O179" s="60">
        <v>60</v>
      </c>
      <c r="P179" s="46"/>
    </row>
    <row r="180" spans="1:16" x14ac:dyDescent="0.25">
      <c r="A180" s="67">
        <v>0.11103849858045578</v>
      </c>
      <c r="B180" s="67">
        <v>3.210866016917862E-2</v>
      </c>
      <c r="C180" s="67">
        <v>0.17918889521725007</v>
      </c>
      <c r="D180" s="67" t="s">
        <v>41</v>
      </c>
      <c r="E180" s="67">
        <v>2.7027551442302613</v>
      </c>
      <c r="F180" s="57">
        <v>0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35</v>
      </c>
      <c r="O180" s="61">
        <v>65</v>
      </c>
      <c r="P180" s="46"/>
    </row>
    <row r="181" spans="1:16" x14ac:dyDescent="0.25">
      <c r="A181" s="66">
        <v>0.11160492897033691</v>
      </c>
      <c r="B181" s="66">
        <v>3.4137447655666613E-2</v>
      </c>
      <c r="C181" s="66">
        <v>0.18476322051660232</v>
      </c>
      <c r="D181" s="66" t="s">
        <v>41</v>
      </c>
      <c r="E181" s="66">
        <v>3.1359696854019639</v>
      </c>
      <c r="F181" s="46">
        <v>0</v>
      </c>
      <c r="G181" s="46">
        <v>0</v>
      </c>
      <c r="H181" s="46">
        <v>0</v>
      </c>
      <c r="I181" s="46">
        <v>0</v>
      </c>
      <c r="J181" s="46">
        <v>0</v>
      </c>
      <c r="K181" s="46">
        <v>0</v>
      </c>
      <c r="L181" s="46">
        <v>0</v>
      </c>
      <c r="M181" s="46">
        <v>5</v>
      </c>
      <c r="N181" s="46">
        <v>25</v>
      </c>
      <c r="O181" s="60">
        <v>70</v>
      </c>
      <c r="P181" s="46"/>
    </row>
    <row r="182" spans="1:16" x14ac:dyDescent="0.25">
      <c r="A182" s="66">
        <v>0.11330685019493103</v>
      </c>
      <c r="B182" s="66">
        <v>3.510150992777198E-2</v>
      </c>
      <c r="C182" s="66">
        <v>0.18735396960772402</v>
      </c>
      <c r="D182" s="66" t="s">
        <v>41</v>
      </c>
      <c r="E182" s="66">
        <v>2.7752903907314725</v>
      </c>
      <c r="F182" s="46">
        <v>0</v>
      </c>
      <c r="G182" s="46">
        <v>0</v>
      </c>
      <c r="H182" s="46">
        <v>0</v>
      </c>
      <c r="I182" s="46">
        <v>0</v>
      </c>
      <c r="J182" s="46">
        <v>0</v>
      </c>
      <c r="K182" s="46">
        <v>0</v>
      </c>
      <c r="L182" s="46">
        <v>0</v>
      </c>
      <c r="M182" s="46">
        <v>0</v>
      </c>
      <c r="N182" s="46">
        <v>30</v>
      </c>
      <c r="O182" s="60">
        <v>70</v>
      </c>
      <c r="P182" s="46"/>
    </row>
    <row r="183" spans="1:16" x14ac:dyDescent="0.25">
      <c r="A183" s="66">
        <v>0.11387328058481216</v>
      </c>
      <c r="B183" s="66">
        <v>3.7978158475598323E-2</v>
      </c>
      <c r="C183" s="66">
        <v>0.19487985651574746</v>
      </c>
      <c r="D183" s="66" t="s">
        <v>41</v>
      </c>
      <c r="E183" s="66">
        <v>2.8358662068253997</v>
      </c>
      <c r="F183" s="46">
        <v>0</v>
      </c>
      <c r="G183" s="46">
        <v>0</v>
      </c>
      <c r="H183" s="46">
        <v>0</v>
      </c>
      <c r="I183" s="46">
        <v>0</v>
      </c>
      <c r="J183" s="46">
        <v>0</v>
      </c>
      <c r="K183" s="46">
        <v>0</v>
      </c>
      <c r="L183" s="46">
        <v>0</v>
      </c>
      <c r="M183" s="46">
        <v>5</v>
      </c>
      <c r="N183" s="46">
        <v>20</v>
      </c>
      <c r="O183" s="60">
        <v>75</v>
      </c>
      <c r="P183" s="46"/>
    </row>
    <row r="184" spans="1:16" x14ac:dyDescent="0.25">
      <c r="A184" s="66">
        <v>0.11557520180940628</v>
      </c>
      <c r="B184" s="66">
        <v>3.8698913675034419E-2</v>
      </c>
      <c r="C184" s="66">
        <v>0.19672039465961433</v>
      </c>
      <c r="D184" s="66" t="s">
        <v>41</v>
      </c>
      <c r="E184" s="66">
        <v>2.6688652361868908</v>
      </c>
      <c r="F184" s="46">
        <v>0</v>
      </c>
      <c r="G184" s="46">
        <v>0</v>
      </c>
      <c r="H184" s="46">
        <v>0</v>
      </c>
      <c r="I184" s="46">
        <v>0</v>
      </c>
      <c r="J184" s="46">
        <v>0</v>
      </c>
      <c r="K184" s="46">
        <v>0</v>
      </c>
      <c r="L184" s="46">
        <v>0</v>
      </c>
      <c r="M184" s="46">
        <v>0</v>
      </c>
      <c r="N184" s="46">
        <v>25</v>
      </c>
      <c r="O184" s="60">
        <v>75</v>
      </c>
      <c r="P184" s="46"/>
    </row>
    <row r="185" spans="1:16" x14ac:dyDescent="0.25">
      <c r="A185" s="67">
        <v>0.11784355342388153</v>
      </c>
      <c r="B185" s="67">
        <v>4.2900871410965928E-2</v>
      </c>
      <c r="C185" s="67">
        <v>0.20712525536729201</v>
      </c>
      <c r="D185" s="67" t="s">
        <v>41</v>
      </c>
      <c r="E185" s="67">
        <v>2.4690911158354516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20</v>
      </c>
      <c r="O185" s="61">
        <v>80</v>
      </c>
      <c r="P185" s="46"/>
    </row>
    <row r="186" spans="1:16" x14ac:dyDescent="0.25">
      <c r="A186" s="66">
        <v>0.12011190503835678</v>
      </c>
      <c r="B186" s="66">
        <v>4.7707383135566481E-2</v>
      </c>
      <c r="C186" s="66">
        <v>0.21842019855216341</v>
      </c>
      <c r="D186" s="66" t="s">
        <v>41</v>
      </c>
      <c r="E186" s="66">
        <v>2.2458957427843207</v>
      </c>
      <c r="F186" s="46">
        <v>0</v>
      </c>
      <c r="G186" s="46">
        <v>0</v>
      </c>
      <c r="H186" s="46">
        <v>0</v>
      </c>
      <c r="I186" s="46">
        <v>0</v>
      </c>
      <c r="J186" s="46">
        <v>0</v>
      </c>
      <c r="K186" s="46">
        <v>0</v>
      </c>
      <c r="L186" s="46">
        <v>0</v>
      </c>
      <c r="M186" s="46">
        <v>0</v>
      </c>
      <c r="N186" s="46">
        <v>15</v>
      </c>
      <c r="O186" s="60">
        <v>85</v>
      </c>
      <c r="P186" s="46"/>
    </row>
    <row r="187" spans="1:16" x14ac:dyDescent="0.25">
      <c r="A187" s="66">
        <v>0.12238025665283203</v>
      </c>
      <c r="B187" s="66">
        <v>5.3118448848836125E-2</v>
      </c>
      <c r="C187" s="66">
        <v>0.2304743995519592</v>
      </c>
      <c r="D187" s="66" t="s">
        <v>41</v>
      </c>
      <c r="E187" s="66">
        <v>2.0429989704350091</v>
      </c>
      <c r="F187" s="46">
        <v>0</v>
      </c>
      <c r="G187" s="46">
        <v>0</v>
      </c>
      <c r="H187" s="46">
        <v>0</v>
      </c>
      <c r="I187" s="46">
        <v>0</v>
      </c>
      <c r="J187" s="46">
        <v>0</v>
      </c>
      <c r="K187" s="46">
        <v>0</v>
      </c>
      <c r="L187" s="46">
        <v>0</v>
      </c>
      <c r="M187" s="46">
        <v>0</v>
      </c>
      <c r="N187" s="46">
        <v>10</v>
      </c>
      <c r="O187" s="60">
        <v>90</v>
      </c>
      <c r="P187" s="46"/>
    </row>
    <row r="188" spans="1:16" x14ac:dyDescent="0.25">
      <c r="A188" s="66">
        <v>0.12464860826730728</v>
      </c>
      <c r="B188" s="66">
        <v>5.9134068550774826E-2</v>
      </c>
      <c r="C188" s="66">
        <v>0.24317497517379297</v>
      </c>
      <c r="D188" s="66" t="s">
        <v>41</v>
      </c>
      <c r="E188" s="66">
        <v>1.8810490303930922</v>
      </c>
      <c r="F188" s="46">
        <v>0</v>
      </c>
      <c r="G188" s="46">
        <v>0</v>
      </c>
      <c r="H188" s="46">
        <v>0</v>
      </c>
      <c r="I188" s="46">
        <v>0</v>
      </c>
      <c r="J188" s="46">
        <v>0</v>
      </c>
      <c r="K188" s="46">
        <v>0</v>
      </c>
      <c r="L188" s="46">
        <v>0</v>
      </c>
      <c r="M188" s="46">
        <v>0</v>
      </c>
      <c r="N188" s="46">
        <v>5</v>
      </c>
      <c r="O188" s="60">
        <v>95</v>
      </c>
      <c r="P188" s="46"/>
    </row>
    <row r="189" spans="1:16" x14ac:dyDescent="0.25">
      <c r="A189" s="67">
        <v>0.12691695988178253</v>
      </c>
      <c r="B189" s="67">
        <v>6.5754242241382599E-2</v>
      </c>
      <c r="C189" s="67">
        <v>0.25642590009861055</v>
      </c>
      <c r="D189" s="67" t="s">
        <v>41</v>
      </c>
      <c r="E189" s="67">
        <v>1.7651720909094168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61">
        <v>100</v>
      </c>
      <c r="P189" s="46"/>
    </row>
  </sheetData>
  <mergeCells count="1">
    <mergeCell ref="F3:H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D11:AF199"/>
  <sheetViews>
    <sheetView workbookViewId="0">
      <selection activeCell="AD190" sqref="AD190:AD199"/>
    </sheetView>
  </sheetViews>
  <sheetFormatPr defaultRowHeight="15" x14ac:dyDescent="0.25"/>
  <cols>
    <col min="1" max="16384" width="9.140625" style="69"/>
  </cols>
  <sheetData>
    <row r="11" spans="30:31" x14ac:dyDescent="0.25">
      <c r="AD11" s="69">
        <v>0.13997372815017109</v>
      </c>
      <c r="AE11" s="69">
        <v>-6.9526523351669312E-2</v>
      </c>
    </row>
    <row r="12" spans="30:31" x14ac:dyDescent="0.25">
      <c r="AD12" s="69">
        <v>0.12177412017151658</v>
      </c>
      <c r="AE12" s="69">
        <v>-6.8814791738986969E-2</v>
      </c>
    </row>
    <row r="13" spans="30:31" x14ac:dyDescent="0.25">
      <c r="AD13" s="69">
        <v>0.1175502095367624</v>
      </c>
      <c r="AE13" s="69">
        <v>-6.7567907273769379E-2</v>
      </c>
    </row>
    <row r="14" spans="30:31" x14ac:dyDescent="0.25">
      <c r="AD14" s="69">
        <v>0.11571442484754074</v>
      </c>
      <c r="AE14" s="69">
        <v>-6.6859245300292969E-2</v>
      </c>
    </row>
    <row r="15" spans="30:31" x14ac:dyDescent="0.25">
      <c r="AD15" s="69">
        <v>0.11019094220268465</v>
      </c>
      <c r="AE15" s="69">
        <v>-6.5893985331058502E-2</v>
      </c>
    </row>
    <row r="16" spans="30:31" x14ac:dyDescent="0.25">
      <c r="AD16" s="69">
        <v>0.10506552857975521</v>
      </c>
      <c r="AE16" s="69">
        <v>-6.4504750072956085E-2</v>
      </c>
    </row>
    <row r="17" spans="30:31" x14ac:dyDescent="0.25">
      <c r="AD17" s="69">
        <v>0.10438271457163391</v>
      </c>
      <c r="AE17" s="69">
        <v>-6.3938438892364502E-2</v>
      </c>
    </row>
    <row r="18" spans="30:31" x14ac:dyDescent="0.25">
      <c r="AD18" s="69">
        <v>9.9758599168590242E-2</v>
      </c>
      <c r="AE18" s="69">
        <v>-6.2973178923130035E-2</v>
      </c>
    </row>
    <row r="19" spans="30:31" x14ac:dyDescent="0.25">
      <c r="AD19" s="69">
        <v>9.5504999360833065E-2</v>
      </c>
      <c r="AE19" s="69">
        <v>-6.1583943665027618E-2</v>
      </c>
    </row>
    <row r="20" spans="30:31" x14ac:dyDescent="0.25">
      <c r="AD20" s="69">
        <v>9.416247662596533E-2</v>
      </c>
      <c r="AE20" s="69">
        <v>-6.0875285416841507E-2</v>
      </c>
    </row>
    <row r="21" spans="30:31" x14ac:dyDescent="0.25">
      <c r="AD21" s="69">
        <v>9.0874305704303202E-2</v>
      </c>
      <c r="AE21" s="69">
        <v>-6.005236878991127E-2</v>
      </c>
    </row>
    <row r="22" spans="30:31" x14ac:dyDescent="0.25">
      <c r="AD22" s="69">
        <v>8.7159879925269718E-2</v>
      </c>
      <c r="AE22" s="69">
        <v>-5.8520790189504623E-2</v>
      </c>
    </row>
    <row r="23" spans="30:31" x14ac:dyDescent="0.25">
      <c r="AD23" s="69">
        <v>8.4620304165960752E-2</v>
      </c>
      <c r="AE23" s="69">
        <v>-5.7530511170625687E-2</v>
      </c>
    </row>
    <row r="24" spans="30:31" x14ac:dyDescent="0.25">
      <c r="AD24" s="69">
        <v>8.2035641700349146E-2</v>
      </c>
      <c r="AE24" s="69">
        <v>-5.6565247476100922E-2</v>
      </c>
    </row>
    <row r="25" spans="30:31" x14ac:dyDescent="0.25">
      <c r="AD25" s="69">
        <v>8.0401969594996306E-2</v>
      </c>
      <c r="AE25" s="69">
        <v>-5.599893257021904E-2</v>
      </c>
    </row>
    <row r="26" spans="30:31" x14ac:dyDescent="0.25">
      <c r="AD26" s="69">
        <v>7.7951973005466468E-2</v>
      </c>
      <c r="AE26" s="69">
        <v>-5.460970476269722E-2</v>
      </c>
    </row>
    <row r="27" spans="30:31" x14ac:dyDescent="0.25">
      <c r="AD27" s="69">
        <v>7.5777187681916464E-2</v>
      </c>
      <c r="AE27" s="69">
        <v>-5.390104278922081E-2</v>
      </c>
    </row>
    <row r="28" spans="30:31" x14ac:dyDescent="0.25">
      <c r="AD28" s="69">
        <v>7.2972355237873029E-2</v>
      </c>
      <c r="AE28" s="69">
        <v>-5.2511811256408691E-2</v>
      </c>
    </row>
    <row r="29" spans="30:31" x14ac:dyDescent="0.25">
      <c r="AD29" s="69">
        <v>7.1494951082208782E-2</v>
      </c>
      <c r="AE29" s="69">
        <v>-5.1945500075817108E-2</v>
      </c>
    </row>
    <row r="30" spans="30:31" x14ac:dyDescent="0.25">
      <c r="AD30" s="69">
        <v>6.9874094734292E-2</v>
      </c>
      <c r="AE30" s="69">
        <v>-5.0812873989343643E-2</v>
      </c>
    </row>
    <row r="31" spans="30:31" x14ac:dyDescent="0.25">
      <c r="AD31" s="69">
        <v>6.7883083220196525E-2</v>
      </c>
      <c r="AE31" s="69">
        <v>-4.9847610294818878E-2</v>
      </c>
    </row>
    <row r="32" spans="30:31" x14ac:dyDescent="0.25">
      <c r="AD32" s="69">
        <v>6.673695758883437E-2</v>
      </c>
      <c r="AE32" s="69">
        <v>-4.8714984208345413E-2</v>
      </c>
    </row>
    <row r="33" spans="30:31" x14ac:dyDescent="0.25">
      <c r="AD33" s="69">
        <v>6.4801955091781785E-2</v>
      </c>
      <c r="AE33" s="69">
        <v>-4.7892063856124878E-2</v>
      </c>
    </row>
    <row r="34" spans="30:31" x14ac:dyDescent="0.25">
      <c r="AD34" s="69">
        <v>6.382805699567852E-2</v>
      </c>
      <c r="AE34" s="69">
        <v>-4.6759441494941711E-2</v>
      </c>
    </row>
    <row r="35" spans="30:31" x14ac:dyDescent="0.25">
      <c r="AD35" s="69">
        <v>6.2244027612538784E-2</v>
      </c>
      <c r="AE35" s="69">
        <v>-4.5594558119773865E-2</v>
      </c>
    </row>
    <row r="36" spans="30:31" x14ac:dyDescent="0.25">
      <c r="AD36" s="69">
        <v>6.1217045569867061E-2</v>
      </c>
      <c r="AE36" s="69">
        <v>-4.4648151844739914E-2</v>
      </c>
    </row>
    <row r="37" spans="30:31" x14ac:dyDescent="0.25">
      <c r="AD37" s="69">
        <v>5.9822610754982547E-2</v>
      </c>
      <c r="AE37" s="69">
        <v>-4.3682888150215149E-2</v>
      </c>
    </row>
    <row r="38" spans="30:31" x14ac:dyDescent="0.25">
      <c r="AD38" s="69">
        <v>5.9014099247238085E-2</v>
      </c>
      <c r="AE38" s="69">
        <v>-4.2550262063741684E-2</v>
      </c>
    </row>
    <row r="39" spans="30:31" x14ac:dyDescent="0.25">
      <c r="AD39" s="69">
        <v>5.773521374775669E-2</v>
      </c>
      <c r="AE39" s="69">
        <v>-4.157160222530365E-2</v>
      </c>
    </row>
    <row r="40" spans="30:31" x14ac:dyDescent="0.25">
      <c r="AD40" s="69">
        <v>5.6828961710979807E-2</v>
      </c>
      <c r="AE40" s="69">
        <v>-4.1005291044712067E-2</v>
      </c>
    </row>
    <row r="41" spans="30:31" x14ac:dyDescent="0.25">
      <c r="AD41" s="69">
        <v>5.5584505562900857E-2</v>
      </c>
      <c r="AE41" s="69">
        <v>-3.9654184132814407E-2</v>
      </c>
    </row>
    <row r="42" spans="30:31" x14ac:dyDescent="0.25">
      <c r="AD42" s="69">
        <v>5.463961327271695E-2</v>
      </c>
      <c r="AE42" s="69">
        <v>-3.8707781583070755E-2</v>
      </c>
    </row>
    <row r="43" spans="30:31" x14ac:dyDescent="0.25">
      <c r="AD43" s="69">
        <v>5.3343135215458096E-2</v>
      </c>
      <c r="AE43" s="69">
        <v>-3.7698641419410706E-2</v>
      </c>
    </row>
    <row r="44" spans="30:31" x14ac:dyDescent="0.25">
      <c r="AD44" s="69">
        <v>5.2531349883627336E-2</v>
      </c>
      <c r="AE44" s="69">
        <v>-3.6752238869667053E-2</v>
      </c>
    </row>
    <row r="45" spans="30:31" x14ac:dyDescent="0.25">
      <c r="AD45" s="69">
        <v>5.140230540023881E-2</v>
      </c>
      <c r="AE45" s="69">
        <v>-3.5587355494499207E-2</v>
      </c>
    </row>
    <row r="46" spans="30:31" x14ac:dyDescent="0.25">
      <c r="AD46" s="69">
        <v>5.0723562798594315E-2</v>
      </c>
      <c r="AE46" s="69">
        <v>-3.5021044313907623E-2</v>
      </c>
    </row>
    <row r="47" spans="30:31" x14ac:dyDescent="0.25">
      <c r="AD47" s="69">
        <v>4.9730179225843149E-2</v>
      </c>
      <c r="AE47" s="69">
        <v>-3.3669937402009964E-2</v>
      </c>
    </row>
    <row r="48" spans="30:31" x14ac:dyDescent="0.25">
      <c r="AD48" s="69">
        <v>4.8830228842174583E-2</v>
      </c>
      <c r="AE48" s="69">
        <v>-3.2543063163757324E-2</v>
      </c>
    </row>
    <row r="49" spans="30:31" x14ac:dyDescent="0.25">
      <c r="AD49" s="69">
        <v>4.7582194797358569E-2</v>
      </c>
      <c r="AE49" s="69">
        <v>-3.1758271157741547E-2</v>
      </c>
    </row>
    <row r="50" spans="30:31" x14ac:dyDescent="0.25">
      <c r="AD50" s="69">
        <v>4.6912261646209562E-2</v>
      </c>
      <c r="AE50" s="69">
        <v>-3.0811866745352745E-2</v>
      </c>
    </row>
    <row r="51" spans="30:31" x14ac:dyDescent="0.25">
      <c r="AD51" s="69">
        <v>4.587931726560672E-2</v>
      </c>
      <c r="AE51" s="69">
        <v>-2.9706984758377075E-2</v>
      </c>
    </row>
    <row r="52" spans="30:31" x14ac:dyDescent="0.25">
      <c r="AD52" s="69">
        <v>4.5276395803247924E-2</v>
      </c>
      <c r="AE52" s="69">
        <v>-2.8514357283711433E-2</v>
      </c>
    </row>
    <row r="53" spans="30:31" x14ac:dyDescent="0.25">
      <c r="AD53" s="69">
        <v>4.4480870620714021E-2</v>
      </c>
      <c r="AE53" s="69">
        <v>-2.7729567140340805E-2</v>
      </c>
    </row>
    <row r="54" spans="30:31" x14ac:dyDescent="0.25">
      <c r="AD54" s="69">
        <v>4.3960701516225671E-2</v>
      </c>
      <c r="AE54" s="69">
        <v>-2.6783162727952003E-2</v>
      </c>
    </row>
    <row r="55" spans="30:31" x14ac:dyDescent="0.25">
      <c r="AD55" s="69">
        <v>4.2959193377995572E-2</v>
      </c>
      <c r="AE55" s="69">
        <v>-2.5678280740976334E-2</v>
      </c>
    </row>
    <row r="56" spans="30:31" x14ac:dyDescent="0.25">
      <c r="AD56" s="69">
        <v>4.2740515646478357E-2</v>
      </c>
      <c r="AE56" s="69">
        <v>-2.5111967697739601E-2</v>
      </c>
    </row>
    <row r="57" spans="30:31" x14ac:dyDescent="0.25">
      <c r="AD57" s="69">
        <v>4.1558409778430873E-2</v>
      </c>
      <c r="AE57" s="69">
        <v>-2.3580390959978104E-2</v>
      </c>
    </row>
    <row r="58" spans="30:31" x14ac:dyDescent="0.25">
      <c r="AD58" s="69">
        <v>4.1403140511707653E-2</v>
      </c>
      <c r="AE58" s="69">
        <v>-2.3200299590826035E-2</v>
      </c>
    </row>
    <row r="59" spans="30:31" x14ac:dyDescent="0.25">
      <c r="AD59" s="69">
        <v>4.0540109749073107E-2</v>
      </c>
      <c r="AE59" s="69">
        <v>-2.1849196404218674E-2</v>
      </c>
    </row>
    <row r="60" spans="30:31" x14ac:dyDescent="0.25">
      <c r="AD60" s="69">
        <v>4.0312048818181699E-2</v>
      </c>
      <c r="AE60" s="69">
        <v>-2.0902791991829872E-2</v>
      </c>
    </row>
    <row r="61" spans="30:31" x14ac:dyDescent="0.25">
      <c r="AD61" s="69">
        <v>3.9279150838713472E-2</v>
      </c>
      <c r="AE61" s="69">
        <v>-1.9513560459017754E-2</v>
      </c>
    </row>
    <row r="62" spans="30:31" x14ac:dyDescent="0.25">
      <c r="AD62" s="69">
        <v>3.8426536295389821E-2</v>
      </c>
      <c r="AE62" s="69">
        <v>-1.759614422917366E-2</v>
      </c>
    </row>
    <row r="63" spans="30:31" x14ac:dyDescent="0.25">
      <c r="AD63" s="69">
        <v>3.8271574756747716E-2</v>
      </c>
      <c r="AE63" s="69">
        <v>-1.7216052860021591E-2</v>
      </c>
    </row>
    <row r="64" spans="30:31" x14ac:dyDescent="0.25">
      <c r="AD64" s="69">
        <v>3.7869491968118729E-2</v>
      </c>
      <c r="AE64" s="69">
        <v>-1.5864947810769081E-2</v>
      </c>
    </row>
    <row r="65" spans="30:31" x14ac:dyDescent="0.25">
      <c r="AD65" s="69">
        <v>3.7693502158463767E-2</v>
      </c>
      <c r="AE65" s="69">
        <v>-1.5484857372939587E-2</v>
      </c>
    </row>
    <row r="66" spans="30:31" x14ac:dyDescent="0.25">
      <c r="AD66" s="69">
        <v>3.7199196548819348E-2</v>
      </c>
      <c r="AE66" s="69">
        <v>-1.1655772104859352E-2</v>
      </c>
    </row>
    <row r="67" spans="30:31" x14ac:dyDescent="0.25">
      <c r="AD67" s="69">
        <v>3.7144870855404376E-2</v>
      </c>
      <c r="AE67" s="69">
        <v>-7.7321045100688934E-3</v>
      </c>
    </row>
    <row r="68" spans="30:31" x14ac:dyDescent="0.25">
      <c r="AD68" s="69">
        <v>3.7048199553102311E-2</v>
      </c>
      <c r="AE68" s="69">
        <v>-7.3654092848300934E-3</v>
      </c>
    </row>
    <row r="69" spans="30:31" x14ac:dyDescent="0.25">
      <c r="AD69" s="69">
        <v>3.6085640652472689E-2</v>
      </c>
      <c r="AE69" s="69">
        <v>-5.6342137977480888E-3</v>
      </c>
    </row>
    <row r="70" spans="30:31" x14ac:dyDescent="0.25">
      <c r="AD70" s="69">
        <v>3.5726285242276071E-2</v>
      </c>
      <c r="AE70" s="69">
        <v>-3.9030187763273716E-3</v>
      </c>
    </row>
    <row r="71" spans="30:31" x14ac:dyDescent="0.25">
      <c r="AD71" s="69">
        <v>3.583443023042996E-2</v>
      </c>
      <c r="AE71" s="69">
        <v>-1.6055104788392782E-3</v>
      </c>
    </row>
    <row r="72" spans="30:31" x14ac:dyDescent="0.25">
      <c r="AD72" s="69">
        <v>3.5901239684805866E-2</v>
      </c>
      <c r="AE72" s="69">
        <v>-1.2254194589331746E-3</v>
      </c>
    </row>
    <row r="73" spans="30:31" x14ac:dyDescent="0.25">
      <c r="AD73" s="69">
        <v>3.6391789203963881E-2</v>
      </c>
      <c r="AE73" s="69">
        <v>-3.769857285078615E-4</v>
      </c>
    </row>
    <row r="74" spans="30:31" x14ac:dyDescent="0.25">
      <c r="AD74" s="69">
        <v>3.6440391930497716E-2</v>
      </c>
      <c r="AE74" s="69">
        <v>5.0577579531818628E-4</v>
      </c>
    </row>
    <row r="75" spans="30:31" x14ac:dyDescent="0.25">
      <c r="AD75" s="69">
        <v>3.6600574839579111E-2</v>
      </c>
      <c r="AE75" s="69">
        <v>2.1476962137967348E-3</v>
      </c>
    </row>
    <row r="76" spans="30:31" x14ac:dyDescent="0.25">
      <c r="AD76" s="69">
        <v>3.6883322165733597E-2</v>
      </c>
      <c r="AE76" s="69">
        <v>2.5277873501181602E-3</v>
      </c>
    </row>
    <row r="77" spans="30:31" x14ac:dyDescent="0.25">
      <c r="AD77" s="69">
        <v>3.6947792635695607E-2</v>
      </c>
      <c r="AE77" s="69">
        <v>3.8788914680480957E-3</v>
      </c>
    </row>
    <row r="78" spans="30:31" x14ac:dyDescent="0.25">
      <c r="AD78" s="69">
        <v>3.7396924780693765E-2</v>
      </c>
      <c r="AE78" s="69">
        <v>4.727325402200222E-3</v>
      </c>
    </row>
    <row r="79" spans="30:31" x14ac:dyDescent="0.25">
      <c r="AD79" s="69">
        <v>3.7567603944012977E-2</v>
      </c>
      <c r="AE79" s="69">
        <v>5.7905600406229496E-3</v>
      </c>
    </row>
    <row r="80" spans="30:31" x14ac:dyDescent="0.25">
      <c r="AD80" s="69">
        <v>3.7731094633139027E-2</v>
      </c>
      <c r="AE80" s="69">
        <v>6.8252156488597393E-3</v>
      </c>
    </row>
    <row r="81" spans="30:31" x14ac:dyDescent="0.25">
      <c r="AD81" s="69">
        <v>3.7969988482953548E-2</v>
      </c>
      <c r="AE81" s="69">
        <v>7.7079772017896175E-3</v>
      </c>
    </row>
    <row r="82" spans="30:31" x14ac:dyDescent="0.25">
      <c r="AD82" s="69">
        <v>3.8015770357122843E-2</v>
      </c>
      <c r="AE82" s="69">
        <v>8.5564106702804565E-3</v>
      </c>
    </row>
    <row r="83" spans="30:31" x14ac:dyDescent="0.25">
      <c r="AD83" s="69">
        <v>3.8816146387798844E-2</v>
      </c>
      <c r="AE83" s="69">
        <v>9.5028150826692581E-3</v>
      </c>
    </row>
    <row r="84" spans="30:31" x14ac:dyDescent="0.25">
      <c r="AD84" s="69">
        <v>3.8871615385229423E-2</v>
      </c>
      <c r="AE84" s="69">
        <v>1.1204852722585201E-2</v>
      </c>
    </row>
    <row r="85" spans="30:31" x14ac:dyDescent="0.25">
      <c r="AD85" s="69">
        <v>3.9303456443206181E-2</v>
      </c>
      <c r="AE85" s="69">
        <v>1.1771165765821934E-2</v>
      </c>
    </row>
    <row r="86" spans="30:31" x14ac:dyDescent="0.25">
      <c r="AD86" s="69">
        <v>3.937437835734206E-2</v>
      </c>
      <c r="AE86" s="69">
        <v>1.4109626412391663E-2</v>
      </c>
    </row>
    <row r="87" spans="30:31" x14ac:dyDescent="0.25">
      <c r="AD87" s="69">
        <v>3.9596824291374969E-2</v>
      </c>
      <c r="AE87" s="69">
        <v>1.457796897739172E-2</v>
      </c>
    </row>
    <row r="88" spans="30:31" x14ac:dyDescent="0.25">
      <c r="AD88" s="69">
        <v>3.9907057505414283E-2</v>
      </c>
      <c r="AE88" s="69">
        <v>1.5840820968151093E-2</v>
      </c>
    </row>
    <row r="89" spans="30:31" x14ac:dyDescent="0.25">
      <c r="AD89" s="69">
        <v>4.0083315401601066E-2</v>
      </c>
      <c r="AE89" s="69">
        <v>1.6689255833625793E-2</v>
      </c>
    </row>
    <row r="90" spans="30:31" x14ac:dyDescent="0.25">
      <c r="AD90" s="69">
        <v>4.088027986309202E-2</v>
      </c>
      <c r="AE90" s="69">
        <v>1.7635658383369446E-2</v>
      </c>
    </row>
    <row r="91" spans="30:31" x14ac:dyDescent="0.25">
      <c r="AD91" s="69">
        <v>4.0888400998983096E-2</v>
      </c>
      <c r="AE91" s="69">
        <v>1.8606672063469887E-2</v>
      </c>
    </row>
    <row r="92" spans="30:31" x14ac:dyDescent="0.25">
      <c r="AD92" s="69">
        <v>4.1582064084615233E-2</v>
      </c>
      <c r="AE92" s="69">
        <v>1.9553076475858688E-2</v>
      </c>
    </row>
    <row r="93" spans="30:31" x14ac:dyDescent="0.25">
      <c r="AD93" s="69">
        <v>4.2120663173480774E-2</v>
      </c>
      <c r="AE93" s="69">
        <v>2.0717957988381386E-2</v>
      </c>
    </row>
    <row r="94" spans="30:31" x14ac:dyDescent="0.25">
      <c r="AD94" s="69">
        <v>4.308103724224447E-2</v>
      </c>
      <c r="AE94" s="69">
        <v>2.1664362400770187E-2</v>
      </c>
    </row>
    <row r="95" spans="30:31" x14ac:dyDescent="0.25">
      <c r="AD95" s="69">
        <v>4.3525409424647936E-2</v>
      </c>
      <c r="AE95" s="69">
        <v>2.2673502564430237E-2</v>
      </c>
    </row>
    <row r="96" spans="30:31" x14ac:dyDescent="0.25">
      <c r="AD96" s="69">
        <v>4.465970594773979E-2</v>
      </c>
      <c r="AE96" s="69">
        <v>2.3619906976819038E-2</v>
      </c>
    </row>
    <row r="97" spans="30:31" x14ac:dyDescent="0.25">
      <c r="AD97" s="69">
        <v>4.5102791504015631E-2</v>
      </c>
      <c r="AE97" s="69">
        <v>2.459091879427433E-2</v>
      </c>
    </row>
    <row r="98" spans="30:31" x14ac:dyDescent="0.25">
      <c r="AD98" s="69">
        <v>4.6121493172554671E-2</v>
      </c>
      <c r="AE98" s="69">
        <v>2.5574633851647377E-2</v>
      </c>
    </row>
    <row r="99" spans="30:31" x14ac:dyDescent="0.25">
      <c r="AD99" s="69">
        <v>4.6382177747857613E-2</v>
      </c>
      <c r="AE99" s="69">
        <v>2.6739517226815224E-2</v>
      </c>
    </row>
    <row r="100" spans="30:31" x14ac:dyDescent="0.25">
      <c r="AD100" s="69">
        <v>4.7027054058958788E-2</v>
      </c>
      <c r="AE100" s="69">
        <v>2.7685919776558876E-2</v>
      </c>
    </row>
    <row r="101" spans="30:31" x14ac:dyDescent="0.25">
      <c r="AD101" s="69">
        <v>4.7582377415043876E-2</v>
      </c>
      <c r="AE101" s="69">
        <v>2.9037024825811386E-2</v>
      </c>
    </row>
    <row r="102" spans="30:31" x14ac:dyDescent="0.25">
      <c r="AD102" s="69">
        <v>4.851661275780611E-2</v>
      </c>
      <c r="AE102" s="69">
        <v>2.9505368322134018E-2</v>
      </c>
    </row>
    <row r="103" spans="30:31" x14ac:dyDescent="0.25">
      <c r="AD103" s="69">
        <v>4.9227607313605551E-2</v>
      </c>
      <c r="AE103" s="69">
        <v>3.0992569401860237E-2</v>
      </c>
    </row>
    <row r="104" spans="30:31" x14ac:dyDescent="0.25">
      <c r="AD104" s="69">
        <v>5.0068749629513902E-2</v>
      </c>
      <c r="AE104" s="69">
        <v>3.1941797584295273E-2</v>
      </c>
    </row>
    <row r="105" spans="30:31" x14ac:dyDescent="0.25">
      <c r="AD105" s="69">
        <v>5.0155090756106753E-2</v>
      </c>
      <c r="AE105" s="69">
        <v>3.2790232449769974E-2</v>
      </c>
    </row>
    <row r="106" spans="30:31" x14ac:dyDescent="0.25">
      <c r="AD106" s="69">
        <v>5.1253333663746618E-2</v>
      </c>
      <c r="AE106" s="69">
        <v>3.3638663589954376E-2</v>
      </c>
    </row>
    <row r="107" spans="30:31" x14ac:dyDescent="0.25">
      <c r="AD107" s="69">
        <v>5.2289719207602739E-2</v>
      </c>
      <c r="AE107" s="69">
        <v>3.4841515123844147E-2</v>
      </c>
    </row>
    <row r="108" spans="30:31" x14ac:dyDescent="0.25">
      <c r="AD108" s="69">
        <v>5.3183872928842753E-2</v>
      </c>
      <c r="AE108" s="69">
        <v>3.5628538578748703E-2</v>
      </c>
    </row>
    <row r="109" spans="30:31" x14ac:dyDescent="0.25">
      <c r="AD109" s="69">
        <v>5.3807538153286177E-2</v>
      </c>
      <c r="AE109" s="69">
        <v>3.6857061088085175E-2</v>
      </c>
    </row>
    <row r="110" spans="30:31" x14ac:dyDescent="0.25">
      <c r="AD110" s="69">
        <v>5.4984555036483328E-2</v>
      </c>
      <c r="AE110" s="69">
        <v>3.7705495953559875E-2</v>
      </c>
    </row>
    <row r="111" spans="30:31" x14ac:dyDescent="0.25">
      <c r="AD111" s="69">
        <v>5.5636050931116031E-2</v>
      </c>
      <c r="AE111" s="69">
        <v>3.8528256118297577E-2</v>
      </c>
    </row>
    <row r="112" spans="30:31" x14ac:dyDescent="0.25">
      <c r="AD112" s="69">
        <v>5.7282721537313369E-2</v>
      </c>
      <c r="AE112" s="69">
        <v>3.9756782352924347E-2</v>
      </c>
    </row>
    <row r="113" spans="30:31" x14ac:dyDescent="0.25">
      <c r="AD113" s="69">
        <v>5.8823037335374848E-2</v>
      </c>
      <c r="AE113" s="69">
        <v>4.0863074362277985E-2</v>
      </c>
    </row>
    <row r="114" spans="30:31" x14ac:dyDescent="0.25">
      <c r="AD114" s="69">
        <v>5.9586391179577543E-2</v>
      </c>
      <c r="AE114" s="69">
        <v>4.1650094091892242E-2</v>
      </c>
    </row>
    <row r="115" spans="30:31" x14ac:dyDescent="0.25">
      <c r="AD115" s="69">
        <v>6.009173527496E-2</v>
      </c>
      <c r="AE115" s="69">
        <v>4.2878620326519012E-2</v>
      </c>
    </row>
    <row r="116" spans="30:31" x14ac:dyDescent="0.25">
      <c r="AD116" s="69">
        <v>6.119188937750767E-2</v>
      </c>
      <c r="AE116" s="69">
        <v>4.3727051466703415E-2</v>
      </c>
    </row>
    <row r="117" spans="30:31" x14ac:dyDescent="0.25">
      <c r="AD117" s="69">
        <v>6.1967359271614356E-2</v>
      </c>
      <c r="AE117" s="69">
        <v>4.4549815356731415E-2</v>
      </c>
    </row>
    <row r="118" spans="30:31" x14ac:dyDescent="0.25">
      <c r="AD118" s="69">
        <v>6.3400673898257265E-2</v>
      </c>
      <c r="AE118" s="69">
        <v>4.5778337866067886E-2</v>
      </c>
    </row>
    <row r="119" spans="30:31" x14ac:dyDescent="0.25">
      <c r="AD119" s="69">
        <v>6.465563517951603E-2</v>
      </c>
      <c r="AE119" s="69">
        <v>4.66318279504776E-2</v>
      </c>
    </row>
    <row r="120" spans="30:31" x14ac:dyDescent="0.25">
      <c r="AD120" s="69">
        <v>6.6201241606682518E-2</v>
      </c>
      <c r="AE120" s="69">
        <v>4.7922927886247635E-2</v>
      </c>
    </row>
    <row r="121" spans="30:31" x14ac:dyDescent="0.25">
      <c r="AD121" s="69">
        <v>6.6928477632155328E-2</v>
      </c>
      <c r="AE121" s="69">
        <v>4.8683110624551773E-2</v>
      </c>
    </row>
    <row r="122" spans="30:31" x14ac:dyDescent="0.25">
      <c r="AD122" s="69">
        <v>6.7987237112095297E-2</v>
      </c>
      <c r="AE122" s="69">
        <v>4.9531545490026474E-2</v>
      </c>
    </row>
    <row r="123" spans="30:31" x14ac:dyDescent="0.25">
      <c r="AD123" s="69">
        <v>7.0305641008648598E-2</v>
      </c>
      <c r="AE123" s="69">
        <v>5.0822649151086807E-2</v>
      </c>
    </row>
    <row r="124" spans="30:31" x14ac:dyDescent="0.25">
      <c r="AD124" s="69">
        <v>7.1371392228702021E-2</v>
      </c>
      <c r="AE124" s="69">
        <v>5.1582831889390945E-2</v>
      </c>
    </row>
    <row r="125" spans="30:31" x14ac:dyDescent="0.25">
      <c r="AD125" s="69">
        <v>7.2585073704547073E-2</v>
      </c>
      <c r="AE125" s="69">
        <v>5.265338346362114E-2</v>
      </c>
    </row>
    <row r="126" spans="30:31" x14ac:dyDescent="0.25">
      <c r="AD126" s="69">
        <v>7.3670951381999028E-2</v>
      </c>
      <c r="AE126" s="69">
        <v>5.350181832909584E-2</v>
      </c>
    </row>
    <row r="127" spans="30:31" x14ac:dyDescent="0.25">
      <c r="AD127" s="69">
        <v>7.4731868124572387E-2</v>
      </c>
      <c r="AE127" s="69">
        <v>5.4704669862985611E-2</v>
      </c>
    </row>
    <row r="128" spans="30:31" x14ac:dyDescent="0.25">
      <c r="AD128" s="69">
        <v>7.5717078338756433E-2</v>
      </c>
      <c r="AE128" s="69">
        <v>5.5553104728460312E-2</v>
      </c>
    </row>
    <row r="129" spans="30:31" x14ac:dyDescent="0.25">
      <c r="AD129" s="69">
        <v>7.8001569708458923E-2</v>
      </c>
      <c r="AE129" s="69">
        <v>5.6755956262350082E-2</v>
      </c>
    </row>
    <row r="130" spans="30:31" x14ac:dyDescent="0.25">
      <c r="AD130" s="69">
        <v>7.8878871706478157E-2</v>
      </c>
      <c r="AE130" s="69">
        <v>5.7604387402534485E-2</v>
      </c>
    </row>
    <row r="131" spans="30:31" x14ac:dyDescent="0.25">
      <c r="AD131" s="69">
        <v>8.0309189381369703E-2</v>
      </c>
      <c r="AE131" s="69">
        <v>5.8546129614114761E-2</v>
      </c>
    </row>
    <row r="132" spans="30:31" x14ac:dyDescent="0.25">
      <c r="AD132" s="69">
        <v>8.1988563355132008E-2</v>
      </c>
      <c r="AE132" s="69">
        <v>5.968639999628067E-2</v>
      </c>
    </row>
    <row r="133" spans="30:31" x14ac:dyDescent="0.25">
      <c r="AD133" s="69">
        <v>8.3215307357004359E-2</v>
      </c>
      <c r="AE133" s="69">
        <v>6.0597412288188934E-2</v>
      </c>
    </row>
    <row r="134" spans="30:31" x14ac:dyDescent="0.25">
      <c r="AD134" s="69">
        <v>8.492763947881464E-2</v>
      </c>
      <c r="AE134" s="69">
        <v>6.1574660241603851E-2</v>
      </c>
    </row>
    <row r="135" spans="30:31" x14ac:dyDescent="0.25">
      <c r="AD135" s="69">
        <v>8.6994065582204655E-2</v>
      </c>
      <c r="AE135" s="69">
        <v>6.267942488193512E-2</v>
      </c>
    </row>
    <row r="136" spans="30:31" x14ac:dyDescent="0.25">
      <c r="AD136" s="69">
        <v>8.7856096134394004E-2</v>
      </c>
      <c r="AE136" s="69">
        <v>6.3625946640968323E-2</v>
      </c>
    </row>
    <row r="137" spans="30:31" x14ac:dyDescent="0.25">
      <c r="AD137" s="69">
        <v>8.9197035760141041E-2</v>
      </c>
      <c r="AE137" s="69">
        <v>6.4567685127258301E-2</v>
      </c>
    </row>
    <row r="138" spans="30:31" x14ac:dyDescent="0.25">
      <c r="AD138" s="69">
        <v>9.0519520582041185E-2</v>
      </c>
      <c r="AE138" s="69">
        <v>6.5707959234714508E-2</v>
      </c>
    </row>
    <row r="139" spans="30:31" x14ac:dyDescent="0.25">
      <c r="AD139" s="69">
        <v>9.1771193409574445E-2</v>
      </c>
      <c r="AE139" s="69">
        <v>6.6530719399452209E-2</v>
      </c>
    </row>
    <row r="140" spans="30:31" x14ac:dyDescent="0.25">
      <c r="AD140" s="69">
        <v>9.351145156143903E-2</v>
      </c>
      <c r="AE140" s="69">
        <v>6.7847497761249542E-2</v>
      </c>
    </row>
    <row r="141" spans="30:31" x14ac:dyDescent="0.25">
      <c r="AD141" s="69">
        <v>9.521840066868402E-2</v>
      </c>
      <c r="AE141" s="69">
        <v>6.8700984120368958E-2</v>
      </c>
    </row>
    <row r="142" spans="30:31" x14ac:dyDescent="0.25">
      <c r="AD142" s="69">
        <v>9.6691349589301923E-2</v>
      </c>
      <c r="AE142" s="69">
        <v>6.9549418985843658E-2</v>
      </c>
    </row>
    <row r="143" spans="30:31" x14ac:dyDescent="0.25">
      <c r="AD143" s="69">
        <v>9.7906400705348479E-2</v>
      </c>
      <c r="AE143" s="69">
        <v>7.0752270519733429E-2</v>
      </c>
    </row>
    <row r="144" spans="30:31" x14ac:dyDescent="0.25">
      <c r="AD144" s="69">
        <v>0.10034737829303765</v>
      </c>
      <c r="AE144" s="69">
        <v>7.157503068447113E-2</v>
      </c>
    </row>
    <row r="145" spans="30:31" x14ac:dyDescent="0.25">
      <c r="AD145" s="69">
        <v>0.10141925308986034</v>
      </c>
      <c r="AE145" s="69">
        <v>7.2552278637886047E-2</v>
      </c>
    </row>
    <row r="146" spans="30:31" x14ac:dyDescent="0.25">
      <c r="AD146" s="69">
        <v>0.10359874514616699</v>
      </c>
      <c r="AE146" s="69">
        <v>7.3657043278217316E-2</v>
      </c>
    </row>
    <row r="147" spans="30:31" x14ac:dyDescent="0.25">
      <c r="AD147" s="69">
        <v>0.10456546589839395</v>
      </c>
      <c r="AE147" s="69">
        <v>7.4722543358802795E-2</v>
      </c>
    </row>
    <row r="148" spans="30:31" x14ac:dyDescent="0.25">
      <c r="AD148" s="69">
        <v>0.10611790830925569</v>
      </c>
      <c r="AE148" s="69">
        <v>7.5545303523540497E-2</v>
      </c>
    </row>
    <row r="149" spans="30:31" x14ac:dyDescent="0.25">
      <c r="AD149" s="69">
        <v>0.10804142710737552</v>
      </c>
      <c r="AE149" s="69">
        <v>7.686208188533783E-2</v>
      </c>
    </row>
    <row r="150" spans="30:31" x14ac:dyDescent="0.25">
      <c r="AD150" s="69">
        <v>0.10944229444229216</v>
      </c>
      <c r="AE150" s="69">
        <v>7.7596589922904968E-2</v>
      </c>
    </row>
    <row r="151" spans="30:31" x14ac:dyDescent="0.25">
      <c r="AD151" s="69">
        <v>0.11125386892463221</v>
      </c>
      <c r="AE151" s="69">
        <v>7.8533276915550232E-2</v>
      </c>
    </row>
    <row r="152" spans="30:31" x14ac:dyDescent="0.25">
      <c r="AD152" s="69">
        <v>0.11283129431607043</v>
      </c>
      <c r="AE152" s="69">
        <v>7.9766854643821716E-2</v>
      </c>
    </row>
    <row r="153" spans="30:31" x14ac:dyDescent="0.25">
      <c r="AD153" s="69">
        <v>0.11500952224789911</v>
      </c>
      <c r="AE153" s="69">
        <v>8.0501362681388855E-2</v>
      </c>
    </row>
    <row r="154" spans="30:31" x14ac:dyDescent="0.25">
      <c r="AD154" s="69">
        <v>0.11627836070697459</v>
      </c>
      <c r="AE154" s="69">
        <v>8.1566862761974335E-2</v>
      </c>
    </row>
    <row r="155" spans="30:31" x14ac:dyDescent="0.25">
      <c r="AD155" s="69">
        <v>0.11833227111052719</v>
      </c>
      <c r="AE155" s="69">
        <v>8.2503542304039001E-2</v>
      </c>
    </row>
    <row r="156" spans="30:31" x14ac:dyDescent="0.25">
      <c r="AD156" s="69">
        <v>0.12023728209774852</v>
      </c>
      <c r="AE156" s="69">
        <v>8.3706393837928772E-2</v>
      </c>
    </row>
    <row r="157" spans="30:31" x14ac:dyDescent="0.25">
      <c r="AD157" s="69">
        <v>0.12181299076174437</v>
      </c>
      <c r="AE157" s="69">
        <v>8.4939979016780853E-2</v>
      </c>
    </row>
    <row r="158" spans="30:31" x14ac:dyDescent="0.25">
      <c r="AD158" s="69">
        <v>0.12409156491022337</v>
      </c>
      <c r="AE158" s="69">
        <v>8.587665855884552E-2</v>
      </c>
    </row>
    <row r="159" spans="30:31" x14ac:dyDescent="0.25">
      <c r="AD159" s="69">
        <v>0.12496996723216085</v>
      </c>
      <c r="AE159" s="69">
        <v>8.6611174046993256E-2</v>
      </c>
    </row>
    <row r="160" spans="30:31" x14ac:dyDescent="0.25">
      <c r="AD160" s="69">
        <v>0.12760530038961707</v>
      </c>
      <c r="AE160" s="69">
        <v>8.784475177526474E-2</v>
      </c>
    </row>
    <row r="161" spans="30:31" x14ac:dyDescent="0.25">
      <c r="AD161" s="69">
        <v>0.12912531419981915</v>
      </c>
      <c r="AE161" s="69">
        <v>8.8781431317329407E-2</v>
      </c>
    </row>
    <row r="162" spans="30:31" x14ac:dyDescent="0.25">
      <c r="AD162" s="69">
        <v>0.13070480627963324</v>
      </c>
      <c r="AE162" s="69">
        <v>8.9515946805477142E-2</v>
      </c>
    </row>
    <row r="163" spans="30:31" x14ac:dyDescent="0.25">
      <c r="AD163" s="69">
        <v>0.13248644290000502</v>
      </c>
      <c r="AE163" s="69">
        <v>9.0581446886062622E-2</v>
      </c>
    </row>
    <row r="164" spans="30:31" x14ac:dyDescent="0.25">
      <c r="AD164" s="69">
        <v>0.13505124346549424</v>
      </c>
      <c r="AE164" s="69">
        <v>9.1784298419952393E-2</v>
      </c>
    </row>
    <row r="165" spans="30:31" x14ac:dyDescent="0.25">
      <c r="AD165" s="69">
        <v>0.13713448544926982</v>
      </c>
      <c r="AE165" s="69">
        <v>9.2751704156398773E-2</v>
      </c>
    </row>
    <row r="166" spans="30:31" x14ac:dyDescent="0.25">
      <c r="AD166" s="69">
        <v>0.13848651932493417</v>
      </c>
      <c r="AE166" s="69">
        <v>9.3954555690288544E-2</v>
      </c>
    </row>
    <row r="167" spans="30:31" x14ac:dyDescent="0.25">
      <c r="AD167" s="69">
        <v>0.14091912864004813</v>
      </c>
      <c r="AE167" s="69">
        <v>9.5157407224178314E-2</v>
      </c>
    </row>
    <row r="168" spans="30:31" x14ac:dyDescent="0.25">
      <c r="AD168" s="69">
        <v>0.14269081890931765</v>
      </c>
      <c r="AE168" s="69">
        <v>9.565647691488266E-2</v>
      </c>
    </row>
    <row r="169" spans="30:31" x14ac:dyDescent="0.25">
      <c r="AD169" s="69">
        <v>0.14436032447882427</v>
      </c>
      <c r="AE169" s="69">
        <v>9.685932844877243E-2</v>
      </c>
    </row>
    <row r="170" spans="30:31" x14ac:dyDescent="0.25">
      <c r="AD170" s="69">
        <v>0.14712814390311491</v>
      </c>
      <c r="AE170" s="69">
        <v>9.792482852935791E-2</v>
      </c>
    </row>
    <row r="171" spans="30:31" x14ac:dyDescent="0.25">
      <c r="AD171" s="69">
        <v>0.1488101418101479</v>
      </c>
      <c r="AE171" s="69">
        <v>9.9127680063247681E-2</v>
      </c>
    </row>
    <row r="172" spans="30:31" x14ac:dyDescent="0.25">
      <c r="AD172" s="69">
        <v>0.15160860511466021</v>
      </c>
      <c r="AE172" s="69">
        <v>9.9626749753952026E-2</v>
      </c>
    </row>
    <row r="173" spans="30:31" x14ac:dyDescent="0.25">
      <c r="AD173" s="69">
        <v>0.15258599353373917</v>
      </c>
      <c r="AE173" s="69">
        <v>0.1008296012878418</v>
      </c>
    </row>
    <row r="174" spans="30:31" x14ac:dyDescent="0.25">
      <c r="AD174" s="69">
        <v>0.15694724269058308</v>
      </c>
      <c r="AE174" s="69">
        <v>0.10189510136842728</v>
      </c>
    </row>
    <row r="175" spans="30:31" x14ac:dyDescent="0.25">
      <c r="AD175" s="69">
        <v>0.15754410259552876</v>
      </c>
      <c r="AE175" s="69">
        <v>0.10253152251243591</v>
      </c>
    </row>
    <row r="176" spans="30:31" x14ac:dyDescent="0.25">
      <c r="AD176" s="69">
        <v>0.16163922808147482</v>
      </c>
      <c r="AE176" s="69">
        <v>0.10359702259302139</v>
      </c>
    </row>
    <row r="177" spans="30:32" x14ac:dyDescent="0.25">
      <c r="AD177" s="69">
        <v>0.16199579972297407</v>
      </c>
      <c r="AE177" s="69">
        <v>0.10479987412691116</v>
      </c>
    </row>
    <row r="178" spans="30:32" x14ac:dyDescent="0.25">
      <c r="AD178" s="69">
        <v>0.16714252187279902</v>
      </c>
      <c r="AE178" s="69">
        <v>0.10650179535150528</v>
      </c>
    </row>
    <row r="179" spans="30:32" x14ac:dyDescent="0.25">
      <c r="AD179" s="69">
        <v>0.17239595238651725</v>
      </c>
      <c r="AE179" s="69">
        <v>0.10877014696598053</v>
      </c>
    </row>
    <row r="180" spans="30:32" x14ac:dyDescent="0.25">
      <c r="AD180" s="69">
        <v>0.17918889521725007</v>
      </c>
      <c r="AE180" s="69">
        <v>0.11103849858045578</v>
      </c>
    </row>
    <row r="181" spans="30:32" x14ac:dyDescent="0.25">
      <c r="AD181" s="69">
        <v>0.18476322051660232</v>
      </c>
      <c r="AE181" s="69">
        <v>0.11160492897033691</v>
      </c>
    </row>
    <row r="182" spans="30:32" x14ac:dyDescent="0.25">
      <c r="AD182" s="69">
        <v>0.18735396960772402</v>
      </c>
      <c r="AE182" s="69">
        <v>0.11330685019493103</v>
      </c>
    </row>
    <row r="183" spans="30:32" x14ac:dyDescent="0.25">
      <c r="AD183" s="69">
        <v>0.19487985651574746</v>
      </c>
      <c r="AE183" s="69">
        <v>0.11387328058481216</v>
      </c>
    </row>
    <row r="184" spans="30:32" x14ac:dyDescent="0.25">
      <c r="AD184" s="69">
        <v>0.19672039465961433</v>
      </c>
      <c r="AE184" s="69">
        <v>0.11557520180940628</v>
      </c>
    </row>
    <row r="185" spans="30:32" x14ac:dyDescent="0.25">
      <c r="AD185" s="69">
        <v>0.20712525536729201</v>
      </c>
      <c r="AE185" s="69">
        <v>0.11784355342388153</v>
      </c>
    </row>
    <row r="186" spans="30:32" x14ac:dyDescent="0.25">
      <c r="AD186" s="69">
        <v>0.21842019855216341</v>
      </c>
      <c r="AE186" s="69">
        <v>0.12011190503835678</v>
      </c>
    </row>
    <row r="187" spans="30:32" x14ac:dyDescent="0.25">
      <c r="AD187" s="69">
        <v>0.2304743995519592</v>
      </c>
      <c r="AE187" s="69">
        <v>0.12238025665283203</v>
      </c>
    </row>
    <row r="188" spans="30:32" x14ac:dyDescent="0.25">
      <c r="AD188" s="69">
        <v>0.24317497517379297</v>
      </c>
      <c r="AE188" s="69">
        <v>0.12464860826730728</v>
      </c>
    </row>
    <row r="189" spans="30:32" x14ac:dyDescent="0.25">
      <c r="AD189" s="69">
        <v>0.25642590009861055</v>
      </c>
      <c r="AE189" s="69">
        <v>0.12691695988178253</v>
      </c>
    </row>
    <row r="190" spans="30:32" x14ac:dyDescent="0.25">
      <c r="AD190" s="69">
        <v>0.20063595850282828</v>
      </c>
      <c r="AF190" s="69">
        <v>-6.7248977720737457E-2</v>
      </c>
    </row>
    <row r="191" spans="30:32" x14ac:dyDescent="0.25">
      <c r="AD191" s="69">
        <v>0.17535113579494871</v>
      </c>
      <c r="AF191" s="69">
        <v>-7.0095911622047424E-2</v>
      </c>
    </row>
    <row r="192" spans="30:32" x14ac:dyDescent="0.25">
      <c r="AD192" s="69">
        <v>0.10045753867558627</v>
      </c>
      <c r="AF192" s="69">
        <v>-3.9464365690946579E-2</v>
      </c>
    </row>
    <row r="193" spans="30:32" x14ac:dyDescent="0.25">
      <c r="AD193" s="69">
        <v>8.2829880183049931E-2</v>
      </c>
      <c r="AF193" s="69">
        <v>-2.8138104826211929E-2</v>
      </c>
    </row>
    <row r="194" spans="30:32" x14ac:dyDescent="0.25">
      <c r="AD194" s="69">
        <v>5.4108306602759393E-2</v>
      </c>
      <c r="AF194" s="69">
        <v>6.4857997931540012E-3</v>
      </c>
    </row>
    <row r="195" spans="30:32" x14ac:dyDescent="0.25">
      <c r="AD195" s="69">
        <v>9.4445300507253832E-2</v>
      </c>
      <c r="AF195" s="69">
        <v>1.4087620191276073E-2</v>
      </c>
    </row>
    <row r="196" spans="30:32" x14ac:dyDescent="0.25">
      <c r="AD196" s="69">
        <v>0.14378341456002253</v>
      </c>
      <c r="AF196" s="69">
        <v>2.3454474285244942E-2</v>
      </c>
    </row>
    <row r="197" spans="30:32" x14ac:dyDescent="0.25">
      <c r="AD197" s="69">
        <v>0.19167375123682048</v>
      </c>
      <c r="AF197" s="69">
        <v>4.7511506825685501E-2</v>
      </c>
    </row>
    <row r="198" spans="30:32" x14ac:dyDescent="0.25">
      <c r="AD198" s="69">
        <v>0.21958147750811566</v>
      </c>
      <c r="AF198" s="69">
        <v>8.1549935042858124E-2</v>
      </c>
    </row>
    <row r="199" spans="30:32" x14ac:dyDescent="0.25">
      <c r="AD199" s="69">
        <v>0.25642591094292416</v>
      </c>
      <c r="AF199" s="69">
        <v>0.12691695988178253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31"/>
  <sheetViews>
    <sheetView workbookViewId="0">
      <selection activeCell="F30" sqref="F30"/>
    </sheetView>
  </sheetViews>
  <sheetFormatPr defaultRowHeight="15" x14ac:dyDescent="0.25"/>
  <cols>
    <col min="1" max="1" width="19.5703125" bestFit="1" customWidth="1"/>
    <col min="5" max="5" width="11" bestFit="1" customWidth="1"/>
    <col min="6" max="6" width="12" bestFit="1" customWidth="1"/>
    <col min="7" max="7" width="13.7109375" bestFit="1" customWidth="1"/>
    <col min="8" max="8" width="7" bestFit="1" customWidth="1"/>
    <col min="9" max="9" width="7.7109375" customWidth="1"/>
    <col min="10" max="10" width="7" bestFit="1" customWidth="1"/>
    <col min="11" max="13" width="8" bestFit="1" customWidth="1"/>
    <col min="14" max="14" width="9" bestFit="1" customWidth="1"/>
    <col min="15" max="16" width="10" bestFit="1" customWidth="1"/>
    <col min="17" max="18" width="11" bestFit="1" customWidth="1"/>
    <col min="19" max="20" width="12" bestFit="1" customWidth="1"/>
    <col min="21" max="21" width="13.140625" bestFit="1" customWidth="1"/>
  </cols>
  <sheetData>
    <row r="1" spans="1:21" ht="15.75" thickBot="1" x14ac:dyDescent="0.3">
      <c r="C1" s="4" t="s">
        <v>11</v>
      </c>
    </row>
    <row r="2" spans="1:21" ht="15.75" thickBot="1" x14ac:dyDescent="0.3">
      <c r="B2" s="5"/>
      <c r="C2" s="6">
        <v>2.5</v>
      </c>
      <c r="D2" s="7">
        <v>2</v>
      </c>
      <c r="E2" s="7">
        <v>1</v>
      </c>
      <c r="F2" s="7">
        <v>0.5</v>
      </c>
      <c r="G2" s="8">
        <v>0.2</v>
      </c>
    </row>
    <row r="3" spans="1:21" x14ac:dyDescent="0.25">
      <c r="A3" s="9" t="s">
        <v>12</v>
      </c>
      <c r="B3" s="10">
        <v>2</v>
      </c>
      <c r="C3" s="11">
        <v>41</v>
      </c>
      <c r="D3" s="12">
        <v>51</v>
      </c>
      <c r="E3" s="12">
        <v>101</v>
      </c>
      <c r="F3" s="12">
        <v>201</v>
      </c>
      <c r="G3" s="13">
        <v>501</v>
      </c>
    </row>
    <row r="4" spans="1:21" x14ac:dyDescent="0.25">
      <c r="B4" s="14">
        <v>3</v>
      </c>
      <c r="C4" s="15">
        <v>861</v>
      </c>
      <c r="D4" s="16">
        <v>1326</v>
      </c>
      <c r="E4" s="16">
        <v>5151</v>
      </c>
      <c r="F4" s="16">
        <v>20301</v>
      </c>
      <c r="G4" s="17">
        <v>125751</v>
      </c>
    </row>
    <row r="5" spans="1:21" x14ac:dyDescent="0.25">
      <c r="B5" s="14">
        <v>4</v>
      </c>
      <c r="C5" s="15">
        <v>12341</v>
      </c>
      <c r="D5" s="16">
        <v>23426</v>
      </c>
      <c r="E5" s="16">
        <v>176851</v>
      </c>
      <c r="F5" s="16">
        <v>1373701</v>
      </c>
      <c r="G5" s="17">
        <v>21084251</v>
      </c>
    </row>
    <row r="6" spans="1:21" x14ac:dyDescent="0.25">
      <c r="B6" s="14">
        <v>5</v>
      </c>
      <c r="C6" s="15">
        <v>135751</v>
      </c>
      <c r="D6" s="16">
        <v>316251</v>
      </c>
      <c r="E6" s="16">
        <v>4598126</v>
      </c>
      <c r="F6" s="16">
        <v>700587751</v>
      </c>
      <c r="G6" s="17">
        <v>2656615626</v>
      </c>
    </row>
    <row r="7" spans="1:21" x14ac:dyDescent="0.25">
      <c r="B7" s="14">
        <v>6</v>
      </c>
      <c r="C7" s="15">
        <v>1221759</v>
      </c>
      <c r="D7" s="16">
        <v>3478761</v>
      </c>
      <c r="E7" s="16">
        <v>96560646</v>
      </c>
      <c r="F7" s="16">
        <v>2872408791</v>
      </c>
      <c r="G7" s="18">
        <v>268318178226</v>
      </c>
    </row>
    <row r="8" spans="1:21" ht="15.75" thickBot="1" x14ac:dyDescent="0.3">
      <c r="B8" s="19">
        <v>7</v>
      </c>
      <c r="C8" s="20">
        <v>9366819</v>
      </c>
      <c r="D8" s="21">
        <v>32468436</v>
      </c>
      <c r="E8" s="21">
        <v>1705904746</v>
      </c>
      <c r="F8" s="21">
        <v>98619368491</v>
      </c>
      <c r="G8" s="22"/>
    </row>
    <row r="9" spans="1:21" x14ac:dyDescent="0.25">
      <c r="I9" s="4" t="s">
        <v>13</v>
      </c>
    </row>
    <row r="10" spans="1:21" ht="15.75" thickBot="1" x14ac:dyDescent="0.3">
      <c r="C10" s="4" t="s">
        <v>11</v>
      </c>
    </row>
    <row r="11" spans="1:21" ht="15.75" thickBot="1" x14ac:dyDescent="0.3">
      <c r="A11" s="9" t="s">
        <v>12</v>
      </c>
      <c r="B11" s="3"/>
      <c r="C11" s="23">
        <v>50</v>
      </c>
      <c r="D11" s="7">
        <v>33.299999999999997</v>
      </c>
      <c r="E11" s="7">
        <v>25</v>
      </c>
      <c r="F11" s="7">
        <v>20</v>
      </c>
      <c r="G11" s="7">
        <v>16.66</v>
      </c>
      <c r="H11" s="7">
        <v>14.28</v>
      </c>
      <c r="I11" s="7">
        <v>12.5</v>
      </c>
      <c r="J11" s="7">
        <v>11.1</v>
      </c>
      <c r="K11" s="7">
        <v>10</v>
      </c>
      <c r="L11" s="7">
        <v>9.09</v>
      </c>
      <c r="M11" s="7">
        <v>8.33</v>
      </c>
      <c r="N11" s="7">
        <v>7.14</v>
      </c>
      <c r="O11" s="24">
        <v>6.25</v>
      </c>
      <c r="P11" s="24">
        <v>5.55</v>
      </c>
      <c r="Q11" s="7">
        <v>5</v>
      </c>
      <c r="R11" s="24">
        <v>4.76</v>
      </c>
      <c r="S11" s="24">
        <v>4</v>
      </c>
      <c r="T11" s="24">
        <v>3.7</v>
      </c>
      <c r="U11" s="25">
        <v>3.33</v>
      </c>
    </row>
    <row r="12" spans="1:21" x14ac:dyDescent="0.25">
      <c r="B12" s="26">
        <v>2</v>
      </c>
      <c r="C12" s="27">
        <v>3</v>
      </c>
      <c r="D12" s="12">
        <v>4</v>
      </c>
      <c r="E12" s="12">
        <v>5</v>
      </c>
      <c r="F12" s="12">
        <v>6</v>
      </c>
      <c r="G12" s="12">
        <v>7</v>
      </c>
      <c r="H12" s="12">
        <v>8</v>
      </c>
      <c r="I12" s="12">
        <v>9</v>
      </c>
      <c r="J12" s="12">
        <v>10</v>
      </c>
      <c r="K12" s="12">
        <v>11</v>
      </c>
      <c r="L12" s="12">
        <v>12</v>
      </c>
      <c r="M12" s="12">
        <v>13</v>
      </c>
      <c r="N12" s="12">
        <v>15</v>
      </c>
      <c r="O12" s="12">
        <v>17</v>
      </c>
      <c r="P12" s="12">
        <v>19</v>
      </c>
      <c r="Q12" s="12">
        <v>21</v>
      </c>
      <c r="R12" s="12">
        <v>22</v>
      </c>
      <c r="S12" s="28">
        <v>26</v>
      </c>
      <c r="T12" s="12">
        <v>28</v>
      </c>
      <c r="U12" s="29">
        <v>31</v>
      </c>
    </row>
    <row r="13" spans="1:21" x14ac:dyDescent="0.25">
      <c r="B13" s="30">
        <v>3</v>
      </c>
      <c r="C13" s="31">
        <v>6</v>
      </c>
      <c r="D13" s="16">
        <v>10</v>
      </c>
      <c r="E13" s="16">
        <v>15</v>
      </c>
      <c r="F13" s="16">
        <v>21</v>
      </c>
      <c r="G13" s="16">
        <v>28</v>
      </c>
      <c r="H13" s="16">
        <v>36</v>
      </c>
      <c r="I13" s="16">
        <v>45</v>
      </c>
      <c r="J13" s="16">
        <v>55</v>
      </c>
      <c r="K13" s="16">
        <v>66</v>
      </c>
      <c r="L13" s="16">
        <v>78</v>
      </c>
      <c r="M13" s="16">
        <v>91</v>
      </c>
      <c r="N13" s="16">
        <v>120</v>
      </c>
      <c r="O13" s="16">
        <v>153</v>
      </c>
      <c r="P13" s="16">
        <v>190</v>
      </c>
      <c r="Q13" s="16">
        <v>231</v>
      </c>
      <c r="R13" s="16">
        <v>253</v>
      </c>
      <c r="S13" s="32">
        <v>351</v>
      </c>
      <c r="T13" s="16">
        <v>406</v>
      </c>
      <c r="U13" s="33">
        <v>496</v>
      </c>
    </row>
    <row r="14" spans="1:21" x14ac:dyDescent="0.25">
      <c r="B14" s="30">
        <v>4</v>
      </c>
      <c r="C14" s="31">
        <v>10</v>
      </c>
      <c r="D14" s="16">
        <v>20</v>
      </c>
      <c r="E14" s="16">
        <v>35</v>
      </c>
      <c r="F14" s="16">
        <v>56</v>
      </c>
      <c r="G14" s="16">
        <v>84</v>
      </c>
      <c r="H14" s="16">
        <v>120</v>
      </c>
      <c r="I14" s="16">
        <v>165</v>
      </c>
      <c r="J14" s="16">
        <v>220</v>
      </c>
      <c r="K14" s="16">
        <v>286</v>
      </c>
      <c r="L14" s="16">
        <v>364</v>
      </c>
      <c r="M14" s="16">
        <v>455</v>
      </c>
      <c r="N14" s="16">
        <v>680</v>
      </c>
      <c r="O14" s="16">
        <v>969</v>
      </c>
      <c r="P14" s="16">
        <v>1330</v>
      </c>
      <c r="Q14" s="16">
        <v>1771</v>
      </c>
      <c r="R14" s="16">
        <v>2024</v>
      </c>
      <c r="S14" s="32">
        <v>3276</v>
      </c>
      <c r="T14" s="16">
        <v>4060</v>
      </c>
      <c r="U14" s="34">
        <v>5456</v>
      </c>
    </row>
    <row r="15" spans="1:21" x14ac:dyDescent="0.25">
      <c r="B15" s="30">
        <v>5</v>
      </c>
      <c r="C15" s="31">
        <v>15</v>
      </c>
      <c r="D15" s="16">
        <v>35</v>
      </c>
      <c r="E15" s="16">
        <v>70</v>
      </c>
      <c r="F15" s="16">
        <v>126</v>
      </c>
      <c r="G15" s="16">
        <v>210</v>
      </c>
      <c r="H15" s="16">
        <v>330</v>
      </c>
      <c r="I15" s="16">
        <v>495</v>
      </c>
      <c r="J15" s="16">
        <v>715</v>
      </c>
      <c r="K15" s="16">
        <v>1001</v>
      </c>
      <c r="L15" s="16">
        <v>1365</v>
      </c>
      <c r="M15" s="16">
        <v>1820</v>
      </c>
      <c r="N15" s="16">
        <v>3060</v>
      </c>
      <c r="O15" s="16">
        <v>4845</v>
      </c>
      <c r="P15" s="16">
        <v>7315</v>
      </c>
      <c r="Q15" s="16">
        <v>10626</v>
      </c>
      <c r="R15" s="16">
        <v>12650</v>
      </c>
      <c r="S15" s="32">
        <v>23751</v>
      </c>
      <c r="T15" s="16">
        <v>31465</v>
      </c>
      <c r="U15" s="34">
        <v>46376</v>
      </c>
    </row>
    <row r="16" spans="1:21" x14ac:dyDescent="0.25">
      <c r="B16" s="30">
        <v>6</v>
      </c>
      <c r="C16" s="31">
        <v>21</v>
      </c>
      <c r="D16" s="16">
        <v>56</v>
      </c>
      <c r="E16" s="16">
        <v>126</v>
      </c>
      <c r="F16" s="16">
        <v>252</v>
      </c>
      <c r="G16" s="16">
        <v>462</v>
      </c>
      <c r="H16" s="16">
        <v>792</v>
      </c>
      <c r="I16" s="16">
        <v>1287</v>
      </c>
      <c r="J16" s="16">
        <v>2002</v>
      </c>
      <c r="K16" s="16">
        <v>3003</v>
      </c>
      <c r="L16" s="16">
        <v>4368</v>
      </c>
      <c r="M16" s="16">
        <v>6188</v>
      </c>
      <c r="N16" s="16">
        <v>11628</v>
      </c>
      <c r="O16" s="16">
        <v>20349</v>
      </c>
      <c r="P16" s="16">
        <v>33649</v>
      </c>
      <c r="Q16" s="16">
        <v>53130</v>
      </c>
      <c r="R16" s="16">
        <v>65780</v>
      </c>
      <c r="S16" s="32">
        <v>142506</v>
      </c>
      <c r="T16" s="16">
        <v>201376</v>
      </c>
      <c r="U16" s="34">
        <v>324632</v>
      </c>
    </row>
    <row r="17" spans="1:21" x14ac:dyDescent="0.25">
      <c r="B17" s="30">
        <v>7</v>
      </c>
      <c r="C17" s="31">
        <v>28</v>
      </c>
      <c r="D17" s="16">
        <v>84</v>
      </c>
      <c r="E17" s="16">
        <v>210</v>
      </c>
      <c r="F17" s="16">
        <v>462</v>
      </c>
      <c r="G17" s="16">
        <v>924</v>
      </c>
      <c r="H17" s="16">
        <v>1716</v>
      </c>
      <c r="I17" s="16">
        <v>3003</v>
      </c>
      <c r="J17" s="16">
        <v>5005</v>
      </c>
      <c r="K17" s="16">
        <v>8008</v>
      </c>
      <c r="L17" s="16">
        <v>12376</v>
      </c>
      <c r="M17" s="16">
        <v>18564</v>
      </c>
      <c r="N17" s="16">
        <v>38760</v>
      </c>
      <c r="O17" s="16">
        <v>74613</v>
      </c>
      <c r="P17" s="16">
        <v>134596</v>
      </c>
      <c r="Q17" s="16">
        <v>230230</v>
      </c>
      <c r="R17" s="16">
        <v>296010</v>
      </c>
      <c r="S17" s="32">
        <v>736281</v>
      </c>
      <c r="T17" s="16">
        <v>1107568</v>
      </c>
      <c r="U17" s="34">
        <v>1947792</v>
      </c>
    </row>
    <row r="18" spans="1:21" x14ac:dyDescent="0.25">
      <c r="B18" s="30">
        <v>8</v>
      </c>
      <c r="C18" s="31">
        <v>36</v>
      </c>
      <c r="D18" s="16">
        <v>120</v>
      </c>
      <c r="E18" s="16">
        <v>330</v>
      </c>
      <c r="F18" s="16">
        <v>792</v>
      </c>
      <c r="G18" s="16">
        <v>1716</v>
      </c>
      <c r="H18" s="16">
        <v>3432</v>
      </c>
      <c r="I18" s="16">
        <v>6435</v>
      </c>
      <c r="J18" s="16">
        <v>11440</v>
      </c>
      <c r="K18" s="16">
        <v>19448</v>
      </c>
      <c r="L18" s="16">
        <v>31824</v>
      </c>
      <c r="M18" s="16">
        <v>50388</v>
      </c>
      <c r="N18" s="16">
        <v>116280</v>
      </c>
      <c r="O18" s="16">
        <v>245157</v>
      </c>
      <c r="P18" s="16">
        <v>480700</v>
      </c>
      <c r="Q18" s="16">
        <v>888030</v>
      </c>
      <c r="R18" s="16">
        <v>1184040</v>
      </c>
      <c r="S18" s="32">
        <v>3365856</v>
      </c>
      <c r="T18" s="16">
        <v>5379616</v>
      </c>
      <c r="U18" s="34">
        <v>10295472</v>
      </c>
    </row>
    <row r="19" spans="1:21" x14ac:dyDescent="0.25">
      <c r="B19" s="30">
        <v>9</v>
      </c>
      <c r="C19" s="31">
        <v>45</v>
      </c>
      <c r="D19" s="16">
        <v>165</v>
      </c>
      <c r="E19" s="16">
        <v>495</v>
      </c>
      <c r="F19" s="16">
        <v>1287</v>
      </c>
      <c r="G19" s="16">
        <v>3003</v>
      </c>
      <c r="H19" s="16">
        <v>6435</v>
      </c>
      <c r="I19" s="16">
        <v>12870</v>
      </c>
      <c r="J19" s="16">
        <v>24310</v>
      </c>
      <c r="K19" s="16">
        <v>43758</v>
      </c>
      <c r="L19" s="16">
        <v>75582</v>
      </c>
      <c r="M19" s="16">
        <v>125970</v>
      </c>
      <c r="N19" s="16">
        <v>319770</v>
      </c>
      <c r="O19" s="16">
        <v>735471</v>
      </c>
      <c r="P19" s="16">
        <v>1562275</v>
      </c>
      <c r="Q19" s="16">
        <v>3108105</v>
      </c>
      <c r="R19" s="16">
        <v>4292145</v>
      </c>
      <c r="S19" s="32">
        <v>13884156</v>
      </c>
      <c r="T19" s="16">
        <v>23535820</v>
      </c>
      <c r="U19" s="34">
        <v>48903492</v>
      </c>
    </row>
    <row r="20" spans="1:21" x14ac:dyDescent="0.25">
      <c r="B20" s="30">
        <v>10</v>
      </c>
      <c r="C20" s="31">
        <v>55</v>
      </c>
      <c r="D20" s="16">
        <v>220</v>
      </c>
      <c r="E20" s="16">
        <v>715</v>
      </c>
      <c r="F20" s="16">
        <v>2002</v>
      </c>
      <c r="G20" s="16">
        <v>5005</v>
      </c>
      <c r="H20" s="16">
        <v>11440</v>
      </c>
      <c r="I20" s="16">
        <v>24310</v>
      </c>
      <c r="J20" s="16">
        <v>48620</v>
      </c>
      <c r="K20" s="16">
        <v>92378</v>
      </c>
      <c r="L20" s="16">
        <v>167960</v>
      </c>
      <c r="M20" s="16">
        <v>293930</v>
      </c>
      <c r="N20" s="16">
        <v>817190</v>
      </c>
      <c r="O20" s="16">
        <v>2042975</v>
      </c>
      <c r="P20" s="16">
        <v>4686825</v>
      </c>
      <c r="Q20" s="16">
        <v>10015005</v>
      </c>
      <c r="R20" s="16">
        <v>14307150</v>
      </c>
      <c r="S20" s="32">
        <v>52451256</v>
      </c>
      <c r="T20" s="16">
        <v>94143280</v>
      </c>
      <c r="U20" s="34">
        <v>211915132</v>
      </c>
    </row>
    <row r="21" spans="1:21" x14ac:dyDescent="0.25">
      <c r="B21" s="30">
        <v>11</v>
      </c>
      <c r="C21" s="31">
        <v>66</v>
      </c>
      <c r="D21" s="16">
        <v>286</v>
      </c>
      <c r="E21" s="16">
        <v>1001</v>
      </c>
      <c r="F21" s="16">
        <v>3003</v>
      </c>
      <c r="G21" s="16">
        <v>8008</v>
      </c>
      <c r="H21" s="16">
        <v>19448</v>
      </c>
      <c r="I21" s="16">
        <v>43758</v>
      </c>
      <c r="J21" s="16">
        <v>92378</v>
      </c>
      <c r="K21" s="16">
        <v>184756</v>
      </c>
      <c r="L21" s="16">
        <v>352716</v>
      </c>
      <c r="M21" s="16">
        <v>646646</v>
      </c>
      <c r="N21" s="16">
        <v>1961256</v>
      </c>
      <c r="O21" s="16">
        <v>5311735</v>
      </c>
      <c r="P21" s="16">
        <v>13123110</v>
      </c>
      <c r="Q21" s="16">
        <v>30045015</v>
      </c>
      <c r="R21" s="16">
        <v>44352165</v>
      </c>
      <c r="S21" s="32">
        <v>183579396</v>
      </c>
      <c r="T21" s="16">
        <v>348330136</v>
      </c>
      <c r="U21" s="34">
        <v>847660528</v>
      </c>
    </row>
    <row r="22" spans="1:21" x14ac:dyDescent="0.25">
      <c r="B22" s="30">
        <v>12</v>
      </c>
      <c r="C22" s="31">
        <v>78</v>
      </c>
      <c r="D22" s="16">
        <v>364</v>
      </c>
      <c r="E22" s="16">
        <v>1365</v>
      </c>
      <c r="F22" s="16">
        <v>4368</v>
      </c>
      <c r="G22" s="16">
        <v>12376</v>
      </c>
      <c r="H22" s="16">
        <v>31824</v>
      </c>
      <c r="I22" s="16">
        <v>75582</v>
      </c>
      <c r="J22" s="16">
        <v>167960</v>
      </c>
      <c r="K22" s="16">
        <v>352716</v>
      </c>
      <c r="L22" s="16">
        <v>705432</v>
      </c>
      <c r="M22" s="16">
        <v>1352078</v>
      </c>
      <c r="N22" s="16">
        <v>4457400</v>
      </c>
      <c r="O22" s="16">
        <v>13037895</v>
      </c>
      <c r="P22" s="16">
        <v>34597290</v>
      </c>
      <c r="Q22" s="16">
        <v>84672315</v>
      </c>
      <c r="R22" s="16">
        <v>129024480</v>
      </c>
      <c r="S22" s="32">
        <v>600805296</v>
      </c>
      <c r="T22" s="16">
        <v>1203322288</v>
      </c>
      <c r="U22" s="34">
        <v>3159461968</v>
      </c>
    </row>
    <row r="23" spans="1:21" x14ac:dyDescent="0.25">
      <c r="B23" s="30">
        <v>13</v>
      </c>
      <c r="C23" s="31">
        <v>91</v>
      </c>
      <c r="D23" s="16">
        <v>455</v>
      </c>
      <c r="E23" s="16">
        <v>1820</v>
      </c>
      <c r="F23" s="16">
        <v>6188</v>
      </c>
      <c r="G23" s="16">
        <v>18564</v>
      </c>
      <c r="H23" s="16">
        <v>50388</v>
      </c>
      <c r="I23" s="16">
        <v>125970</v>
      </c>
      <c r="J23" s="16">
        <v>293930</v>
      </c>
      <c r="K23" s="16">
        <v>646646</v>
      </c>
      <c r="L23" s="16">
        <v>1352078</v>
      </c>
      <c r="M23" s="16">
        <v>2704156</v>
      </c>
      <c r="N23" s="16">
        <v>9657700</v>
      </c>
      <c r="O23" s="16">
        <v>30421755</v>
      </c>
      <c r="P23" s="16">
        <v>86493225</v>
      </c>
      <c r="Q23" s="16">
        <v>225792840</v>
      </c>
      <c r="R23" s="16">
        <v>354817320</v>
      </c>
      <c r="S23" s="32">
        <v>1852482996</v>
      </c>
      <c r="T23" s="16">
        <v>3910797436</v>
      </c>
      <c r="U23" s="34">
        <v>11058116888</v>
      </c>
    </row>
    <row r="24" spans="1:21" x14ac:dyDescent="0.25">
      <c r="B24" s="30">
        <v>14</v>
      </c>
      <c r="C24" s="31">
        <v>105</v>
      </c>
      <c r="D24" s="16">
        <v>560</v>
      </c>
      <c r="E24" s="16">
        <v>2380</v>
      </c>
      <c r="F24" s="16">
        <v>8568</v>
      </c>
      <c r="G24" s="16">
        <v>27132</v>
      </c>
      <c r="H24" s="16">
        <v>77520</v>
      </c>
      <c r="I24" s="16">
        <v>203490</v>
      </c>
      <c r="J24" s="16">
        <v>497420</v>
      </c>
      <c r="K24" s="16">
        <v>1144066</v>
      </c>
      <c r="L24" s="16">
        <v>2496144</v>
      </c>
      <c r="M24" s="16">
        <v>5200300</v>
      </c>
      <c r="N24" s="16">
        <v>20058300</v>
      </c>
      <c r="O24" s="16">
        <v>67863915</v>
      </c>
      <c r="P24" s="16">
        <v>206253075</v>
      </c>
      <c r="Q24" s="16">
        <v>573166440</v>
      </c>
      <c r="R24" s="16">
        <v>927983760</v>
      </c>
      <c r="S24" s="32">
        <v>5414950296</v>
      </c>
      <c r="T24" s="16">
        <v>12033222880</v>
      </c>
      <c r="U24" s="34">
        <v>36576848168</v>
      </c>
    </row>
    <row r="25" spans="1:21" ht="15.75" thickBot="1" x14ac:dyDescent="0.3">
      <c r="B25" s="35">
        <v>15</v>
      </c>
      <c r="C25" s="36">
        <v>120</v>
      </c>
      <c r="D25" s="21">
        <v>680</v>
      </c>
      <c r="E25" s="21">
        <v>3060</v>
      </c>
      <c r="F25" s="21">
        <v>11628</v>
      </c>
      <c r="G25" s="21">
        <v>38760</v>
      </c>
      <c r="H25" s="21">
        <v>116280</v>
      </c>
      <c r="I25" s="21">
        <v>319770</v>
      </c>
      <c r="J25" s="21">
        <v>817190</v>
      </c>
      <c r="K25" s="21">
        <v>1961256</v>
      </c>
      <c r="L25" s="21">
        <v>4457400</v>
      </c>
      <c r="M25" s="21">
        <v>9657700</v>
      </c>
      <c r="N25" s="21">
        <v>40116600</v>
      </c>
      <c r="O25" s="21">
        <v>145422675</v>
      </c>
      <c r="P25" s="21">
        <v>471435600</v>
      </c>
      <c r="Q25" s="21">
        <v>1391975640</v>
      </c>
      <c r="R25" s="21">
        <v>2319959400</v>
      </c>
      <c r="S25" s="37">
        <v>15084504396</v>
      </c>
      <c r="T25" s="21">
        <v>35240152720</v>
      </c>
      <c r="U25" s="38">
        <v>114955808528</v>
      </c>
    </row>
    <row r="31" spans="1:21" x14ac:dyDescent="0.25">
      <c r="A31" s="4" t="s">
        <v>13</v>
      </c>
    </row>
  </sheetData>
  <sheetProtection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Inputs</vt:lpstr>
      <vt:lpstr>Return and Risk</vt:lpstr>
      <vt:lpstr>Covariance Matrix</vt:lpstr>
      <vt:lpstr>Correlation Coefficients</vt:lpstr>
      <vt:lpstr>Results</vt:lpstr>
      <vt:lpstr>Aid</vt:lpstr>
      <vt:lpstr>Table - Warning</vt:lpstr>
      <vt:lpstr>Graph</vt:lpstr>
      <vt:lpstr>sngreturnyfinal</vt:lpstr>
      <vt:lpstr>sngreturnyjednotlive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Method of the step by step assigned weights</dc:title>
  <dc:creator>Kahuna</dc:creator>
  <cp:keywords>VBA. Markowitz divesification, Method of the step by step assigned weights</cp:keywords>
  <cp:lastModifiedBy>Martin</cp:lastModifiedBy>
  <dcterms:created xsi:type="dcterms:W3CDTF">2014-01-07T14:26:08Z</dcterms:created>
  <dcterms:modified xsi:type="dcterms:W3CDTF">2017-05-28T18:36:40Z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55c813ce-c630-4562-92eb-a145c3bb8c76</vt:lpwstr>
  </property>
</Properties>
</file>
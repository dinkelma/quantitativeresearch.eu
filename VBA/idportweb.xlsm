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65" yWindow="420" windowWidth="18195" windowHeight="12540" tabRatio="809"/>
  </bookViews>
  <sheets>
    <sheet name="Inputs" sheetId="1" r:id="rId1"/>
    <sheet name="Return and Risk" sheetId="2" r:id="rId2"/>
    <sheet name="Covariance Matrix" sheetId="3" state="hidden" r:id="rId3"/>
    <sheet name="Correlation Coefficients" sheetId="4" r:id="rId4"/>
    <sheet name="Results" sheetId="5" r:id="rId5"/>
    <sheet name="Solver Solve" sheetId="9" r:id="rId6"/>
    <sheet name="Graph" sheetId="8" r:id="rId7"/>
  </sheets>
  <definedNames>
    <definedName name="solver_adj" localSheetId="2" hidden="1">'Covariance Matrix'!$A$503:$A$505</definedName>
    <definedName name="solver_cvg" localSheetId="2" hidden="1">0.0001</definedName>
    <definedName name="solver_cvg" localSheetId="0" hidden="1">0.0001</definedName>
    <definedName name="solver_drv" localSheetId="2" hidden="1">1</definedName>
    <definedName name="solver_drv" localSheetId="0" hidden="1">2</definedName>
    <definedName name="solver_eng" localSheetId="2" hidden="1">1</definedName>
    <definedName name="solver_eng" localSheetId="0" hidden="1">1</definedName>
    <definedName name="solver_eng" localSheetId="4" hidden="1">1</definedName>
    <definedName name="solver_est" localSheetId="2" hidden="1">1</definedName>
    <definedName name="solver_est" localSheetId="0" hidden="1">1</definedName>
    <definedName name="solver_itr" localSheetId="2" hidden="1">2147483647</definedName>
    <definedName name="solver_itr" localSheetId="0" hidden="1">2147483647</definedName>
    <definedName name="solver_lhs1" localSheetId="2" hidden="1">'Covariance Matrix'!$G$508</definedName>
    <definedName name="solver_lhs1" localSheetId="0" hidden="1">Inputs!$D$16</definedName>
    <definedName name="solver_lhs10" localSheetId="2" hidden="1">'Covariance Matrix'!#REF!</definedName>
    <definedName name="solver_lhs11" localSheetId="2" hidden="1">'Covariance Matrix'!#REF!</definedName>
    <definedName name="solver_lhs12" localSheetId="2" hidden="1">'Covariance Matrix'!#REF!</definedName>
    <definedName name="solver_lhs13" localSheetId="2" hidden="1">'Covariance Matrix'!#REF!</definedName>
    <definedName name="solver_lhs14" localSheetId="2" hidden="1">'Covariance Matrix'!#REF!</definedName>
    <definedName name="solver_lhs15" localSheetId="2" hidden="1">'Covariance Matrix'!#REF!</definedName>
    <definedName name="solver_lhs16" localSheetId="2" hidden="1">'Covariance Matrix'!#REF!</definedName>
    <definedName name="solver_lhs17" localSheetId="2" hidden="1">'Covariance Matrix'!#REF!</definedName>
    <definedName name="solver_lhs18" localSheetId="2" hidden="1">'Covariance Matrix'!#REF!</definedName>
    <definedName name="solver_lhs19" localSheetId="2" hidden="1">'Covariance Matrix'!#REF!</definedName>
    <definedName name="solver_lhs2" localSheetId="2" hidden="1">'Covariance Matrix'!$G$506</definedName>
    <definedName name="solver_lhs2" localSheetId="0" hidden="1">Inputs!$D$18</definedName>
    <definedName name="solver_lhs20" localSheetId="2" hidden="1">'Covariance Matrix'!#REF!</definedName>
    <definedName name="solver_lhs21" localSheetId="2" hidden="1">'Covariance Matrix'!#REF!</definedName>
    <definedName name="solver_lhs22" localSheetId="2" hidden="1">'Covariance Matrix'!#REF!</definedName>
    <definedName name="solver_lhs23" localSheetId="2" hidden="1">'Covariance Matrix'!#REF!</definedName>
    <definedName name="solver_lhs24" localSheetId="2" hidden="1">'Covariance Matrix'!#REF!</definedName>
    <definedName name="solver_lhs25" localSheetId="2" hidden="1">'Covariance Matrix'!#REF!</definedName>
    <definedName name="solver_lhs26" localSheetId="2" hidden="1">'Covariance Matrix'!#REF!</definedName>
    <definedName name="solver_lhs27" localSheetId="2" hidden="1">'Covariance Matrix'!#REF!</definedName>
    <definedName name="solver_lhs28" localSheetId="2" hidden="1">'Covariance Matrix'!#REF!</definedName>
    <definedName name="solver_lhs29" localSheetId="2" hidden="1">'Covariance Matrix'!#REF!</definedName>
    <definedName name="solver_lhs3" localSheetId="2" hidden="1">'Covariance Matrix'!#REF!</definedName>
    <definedName name="solver_lhs30" localSheetId="2" hidden="1">'Covariance Matrix'!#REF!</definedName>
    <definedName name="solver_lhs31" localSheetId="2" hidden="1">'Covariance Matrix'!#REF!</definedName>
    <definedName name="solver_lhs32" localSheetId="2" hidden="1">'Covariance Matrix'!#REF!</definedName>
    <definedName name="solver_lhs33" localSheetId="2" hidden="1">'Covariance Matrix'!#REF!</definedName>
    <definedName name="solver_lhs34" localSheetId="2" hidden="1">'Covariance Matrix'!#REF!</definedName>
    <definedName name="solver_lhs35" localSheetId="2" hidden="1">'Covariance Matrix'!#REF!</definedName>
    <definedName name="solver_lhs36" localSheetId="2" hidden="1">'Covariance Matrix'!#REF!</definedName>
    <definedName name="solver_lhs37" localSheetId="2" hidden="1">'Covariance Matrix'!#REF!</definedName>
    <definedName name="solver_lhs38" localSheetId="2" hidden="1">'Covariance Matrix'!#REF!</definedName>
    <definedName name="solver_lhs4" localSheetId="2" hidden="1">'Covariance Matrix'!#REF!</definedName>
    <definedName name="solver_lhs5" localSheetId="2" hidden="1">'Covariance Matrix'!#REF!</definedName>
    <definedName name="solver_lhs6" localSheetId="2" hidden="1">'Covariance Matrix'!#REF!</definedName>
    <definedName name="solver_lhs7" localSheetId="2" hidden="1">'Covariance Matrix'!#REF!</definedName>
    <definedName name="solver_lhs8" localSheetId="2" hidden="1">'Covariance Matrix'!#REF!</definedName>
    <definedName name="solver_lhs9" localSheetId="2" hidden="1">'Covariance Matrix'!#REF!</definedName>
    <definedName name="solver_mip" localSheetId="2" hidden="1">2147483647</definedName>
    <definedName name="solver_mip" localSheetId="0" hidden="1">2147483647</definedName>
    <definedName name="solver_mni" localSheetId="2" hidden="1">30</definedName>
    <definedName name="solver_mni" localSheetId="0" hidden="1">30</definedName>
    <definedName name="solver_mrt" localSheetId="2" hidden="1">0.075</definedName>
    <definedName name="solver_mrt" localSheetId="0" hidden="1">0.075</definedName>
    <definedName name="solver_msl" localSheetId="2" hidden="1">2</definedName>
    <definedName name="solver_msl" localSheetId="0" hidden="1">2</definedName>
    <definedName name="solver_neg" localSheetId="2" hidden="1">1</definedName>
    <definedName name="solver_neg" localSheetId="0" hidden="1">1</definedName>
    <definedName name="solver_neg" localSheetId="4" hidden="1">1</definedName>
    <definedName name="solver_nod" localSheetId="2" hidden="1">2147483647</definedName>
    <definedName name="solver_nod" localSheetId="0" hidden="1">2147483647</definedName>
    <definedName name="solver_num" localSheetId="2" hidden="1">2</definedName>
    <definedName name="solver_num" localSheetId="0" hidden="1">0</definedName>
    <definedName name="solver_num" localSheetId="4" hidden="1">0</definedName>
    <definedName name="solver_nwt" localSheetId="2" hidden="1">1</definedName>
    <definedName name="solver_nwt" localSheetId="0" hidden="1">1</definedName>
    <definedName name="solver_opt" localSheetId="2" hidden="1">'Covariance Matrix'!$G$510</definedName>
    <definedName name="solver_pre" localSheetId="2" hidden="1">0.000001</definedName>
    <definedName name="solver_pre" localSheetId="0" hidden="1">0.000001</definedName>
    <definedName name="solver_rbv" localSheetId="2" hidden="1">2</definedName>
    <definedName name="solver_rbv" localSheetId="0" hidden="1">2</definedName>
    <definedName name="solver_rel1" localSheetId="2" hidden="1">2</definedName>
    <definedName name="solver_rel1" localSheetId="0" hidden="1">2</definedName>
    <definedName name="solver_rel10" localSheetId="2" hidden="1">1</definedName>
    <definedName name="solver_rel11" localSheetId="2" hidden="1">1</definedName>
    <definedName name="solver_rel12" localSheetId="2" hidden="1">1</definedName>
    <definedName name="solver_rel13" localSheetId="2" hidden="1">1</definedName>
    <definedName name="solver_rel14" localSheetId="2" hidden="1">1</definedName>
    <definedName name="solver_rel15" localSheetId="2" hidden="1">1</definedName>
    <definedName name="solver_rel16" localSheetId="2" hidden="1">1</definedName>
    <definedName name="solver_rel17" localSheetId="2" hidden="1">1</definedName>
    <definedName name="solver_rel18" localSheetId="2" hidden="1">1</definedName>
    <definedName name="solver_rel19" localSheetId="2" hidden="1">1</definedName>
    <definedName name="solver_rel2" localSheetId="2" hidden="1">2</definedName>
    <definedName name="solver_rel2" localSheetId="0" hidden="1">2</definedName>
    <definedName name="solver_rel20" localSheetId="2" hidden="1">1</definedName>
    <definedName name="solver_rel21" localSheetId="2" hidden="1">1</definedName>
    <definedName name="solver_rel22" localSheetId="2" hidden="1">1</definedName>
    <definedName name="solver_rel23" localSheetId="2" hidden="1">1</definedName>
    <definedName name="solver_rel24" localSheetId="2" hidden="1">1</definedName>
    <definedName name="solver_rel25" localSheetId="2" hidden="1">2</definedName>
    <definedName name="solver_rel26" localSheetId="2" hidden="1">2</definedName>
    <definedName name="solver_rel27" localSheetId="2" hidden="1">1</definedName>
    <definedName name="solver_rel28" localSheetId="2" hidden="1">1</definedName>
    <definedName name="solver_rel29" localSheetId="2" hidden="1">1</definedName>
    <definedName name="solver_rel3" localSheetId="2" hidden="1">2</definedName>
    <definedName name="solver_rel30" localSheetId="2" hidden="1">1</definedName>
    <definedName name="solver_rel31" localSheetId="2" hidden="1">1</definedName>
    <definedName name="solver_rel32" localSheetId="2" hidden="1">1</definedName>
    <definedName name="solver_rel33" localSheetId="2" hidden="1">1</definedName>
    <definedName name="solver_rel34" localSheetId="2" hidden="1">1</definedName>
    <definedName name="solver_rel35" localSheetId="2" hidden="1">1</definedName>
    <definedName name="solver_rel36" localSheetId="2" hidden="1">1</definedName>
    <definedName name="solver_rel37" localSheetId="2" hidden="1">2</definedName>
    <definedName name="solver_rel38" localSheetId="2" hidden="1">2</definedName>
    <definedName name="solver_rel4" localSheetId="2" hidden="1">1</definedName>
    <definedName name="solver_rel5" localSheetId="2" hidden="1">1</definedName>
    <definedName name="solver_rel6" localSheetId="2" hidden="1">1</definedName>
    <definedName name="solver_rel7" localSheetId="2" hidden="1">1</definedName>
    <definedName name="solver_rel8" localSheetId="2" hidden="1">1</definedName>
    <definedName name="solver_rel9" localSheetId="2" hidden="1">1</definedName>
    <definedName name="solver_rhs1" localSheetId="2" hidden="1">1</definedName>
    <definedName name="solver_rhs1" localSheetId="0" hidden="1">Inputs!$G$16</definedName>
    <definedName name="solver_rhs10" localSheetId="2" hidden="1">1</definedName>
    <definedName name="solver_rhs11" localSheetId="2" hidden="1">1</definedName>
    <definedName name="solver_rhs12" localSheetId="2" hidden="1">1</definedName>
    <definedName name="solver_rhs13" localSheetId="2" hidden="1">1</definedName>
    <definedName name="solver_rhs14" localSheetId="2" hidden="1">1</definedName>
    <definedName name="solver_rhs15" localSheetId="2" hidden="1">1</definedName>
    <definedName name="solver_rhs16" localSheetId="2" hidden="1">1</definedName>
    <definedName name="solver_rhs17" localSheetId="2" hidden="1">1</definedName>
    <definedName name="solver_rhs18" localSheetId="2" hidden="1">1</definedName>
    <definedName name="solver_rhs19" localSheetId="2" hidden="1">1</definedName>
    <definedName name="solver_rhs2" localSheetId="2" hidden="1">'Covariance Matrix'!$G$512</definedName>
    <definedName name="solver_rhs2" localSheetId="0" hidden="1">Inputs!$I$16</definedName>
    <definedName name="solver_rhs20" localSheetId="2" hidden="1">1</definedName>
    <definedName name="solver_rhs21" localSheetId="2" hidden="1">1</definedName>
    <definedName name="solver_rhs22" localSheetId="2" hidden="1">1</definedName>
    <definedName name="solver_rhs23" localSheetId="2" hidden="1">1</definedName>
    <definedName name="solver_rhs24" localSheetId="2" hidden="1">1</definedName>
    <definedName name="solver_rhs25" localSheetId="2" hidden="1">1</definedName>
    <definedName name="solver_rhs26" localSheetId="2" hidden="1">Epcko</definedName>
    <definedName name="solver_rhs27" localSheetId="2" hidden="1">1</definedName>
    <definedName name="solver_rhs28" localSheetId="2" hidden="1">1</definedName>
    <definedName name="solver_rhs29" localSheetId="2" hidden="1">1</definedName>
    <definedName name="solver_rhs3" localSheetId="2" hidden="1">0.5</definedName>
    <definedName name="solver_rhs30" localSheetId="2" hidden="1">1</definedName>
    <definedName name="solver_rhs31" localSheetId="2" hidden="1">1</definedName>
    <definedName name="solver_rhs32" localSheetId="2" hidden="1">1</definedName>
    <definedName name="solver_rhs33" localSheetId="2" hidden="1">1</definedName>
    <definedName name="solver_rhs34" localSheetId="2" hidden="1">1</definedName>
    <definedName name="solver_rhs35" localSheetId="2" hidden="1">1</definedName>
    <definedName name="solver_rhs36" localSheetId="2" hidden="1">1</definedName>
    <definedName name="solver_rhs37" localSheetId="2" hidden="1">1</definedName>
    <definedName name="solver_rhs38" localSheetId="2" hidden="1">Epcko</definedName>
    <definedName name="solver_rhs4" localSheetId="2" hidden="1">1</definedName>
    <definedName name="solver_rhs5" localSheetId="2" hidden="1">1</definedName>
    <definedName name="solver_rhs6" localSheetId="2" hidden="1">1</definedName>
    <definedName name="solver_rhs7" localSheetId="2" hidden="1">1</definedName>
    <definedName name="solver_rhs8" localSheetId="2" hidden="1">1</definedName>
    <definedName name="solver_rhs9" localSheetId="2" hidden="1">1</definedName>
    <definedName name="solver_rlx" localSheetId="2" hidden="1">2</definedName>
    <definedName name="solver_rlx" localSheetId="0" hidden="1">2</definedName>
    <definedName name="solver_rsd" localSheetId="2" hidden="1">0</definedName>
    <definedName name="solver_rsd" localSheetId="0" hidden="1">0</definedName>
    <definedName name="solver_scl" localSheetId="2" hidden="1">1</definedName>
    <definedName name="solver_scl" localSheetId="0" hidden="1">2</definedName>
    <definedName name="solver_sho" localSheetId="2" hidden="1">2</definedName>
    <definedName name="solver_sho" localSheetId="0" hidden="1">2</definedName>
    <definedName name="solver_ssz" localSheetId="2" hidden="1">100</definedName>
    <definedName name="solver_ssz" localSheetId="0" hidden="1">100</definedName>
    <definedName name="solver_tim" localSheetId="2" hidden="1">2147483647</definedName>
    <definedName name="solver_tim" localSheetId="0" hidden="1">2147483647</definedName>
    <definedName name="solver_tol" localSheetId="2" hidden="1">0.01</definedName>
    <definedName name="solver_tol" localSheetId="0" hidden="1">0.01</definedName>
    <definedName name="solver_typ" localSheetId="2" hidden="1">2</definedName>
    <definedName name="solver_typ" localSheetId="0" hidden="1">1</definedName>
    <definedName name="solver_typ" localSheetId="4" hidden="1">1</definedName>
    <definedName name="solver_val" localSheetId="2" hidden="1">0</definedName>
    <definedName name="solver_val" localSheetId="0" hidden="1">0</definedName>
    <definedName name="solver_val" localSheetId="4" hidden="1">0</definedName>
    <definedName name="solver_ver" localSheetId="2" hidden="1">3</definedName>
    <definedName name="solver_ver" localSheetId="0" hidden="1">3</definedName>
    <definedName name="solver_ver" localSheetId="4" hidden="1">3</definedName>
  </definedNames>
  <calcPr calcId="162913"/>
</workbook>
</file>

<file path=xl/calcChain.xml><?xml version="1.0" encoding="utf-8"?>
<calcChain xmlns="http://schemas.openxmlformats.org/spreadsheetml/2006/main">
  <c r="G510" i="3" l="1" a="1"/>
  <c r="G510" i="3" s="1"/>
  <c r="G508" i="3" a="1"/>
  <c r="G508" i="3" s="1"/>
  <c r="G506" i="3" a="1"/>
  <c r="G506" i="3" s="1"/>
  <c r="E9" i="5"/>
  <c r="J9" i="2"/>
  <c r="G7" i="1" l="1"/>
</calcChain>
</file>

<file path=xl/sharedStrings.xml><?xml version="1.0" encoding="utf-8"?>
<sst xmlns="http://schemas.openxmlformats.org/spreadsheetml/2006/main" count="83" uniqueCount="59">
  <si>
    <t>Name of the share</t>
  </si>
  <si>
    <t>Probability</t>
  </si>
  <si>
    <t>1/n</t>
  </si>
  <si>
    <t>....</t>
  </si>
  <si>
    <t>Solver found a solution. All constraints and optimality conditions are satisfied.</t>
  </si>
  <si>
    <t>Solver has converged to the current solution. All constraints are satisfied.</t>
  </si>
  <si>
    <t>Solver cannot improve the current solution. All constraints are satisfied.</t>
  </si>
  <si>
    <t>The Objective Cell values do not converge.</t>
  </si>
  <si>
    <t>Solver could not find a feasible solution.</t>
  </si>
  <si>
    <t>Solver stopped at user’s request.</t>
  </si>
  <si>
    <t>The linearity conditions required by this LP Solver are not satisfied.</t>
  </si>
  <si>
    <t>The problem is too large for Solver to handle.</t>
  </si>
  <si>
    <t>Solver encountered an error value in a target or constraint cell.</t>
  </si>
  <si>
    <t>There is not enough memory available to solve the problem.</t>
  </si>
  <si>
    <t>Error in model. Please verify that all cells and constraints are valid.</t>
  </si>
  <si>
    <t>Solver found an integer solution within tolerance. All constraints are satisfied.</t>
  </si>
  <si>
    <t>Solver converged in probability to a global solution.</t>
  </si>
  <si>
    <t>All variables must have both upper and lower bounds.</t>
  </si>
  <si>
    <t>Variable bounds conflict in binary or alldifferent constraint.</t>
  </si>
  <si>
    <t>Lower and upper bounds on variables allow no feasible solution.</t>
  </si>
  <si>
    <t>Return</t>
  </si>
  <si>
    <t>Dispersion</t>
  </si>
  <si>
    <t>Standard Deviation</t>
  </si>
  <si>
    <t>VaR0.01</t>
  </si>
  <si>
    <t>VaR0.05</t>
  </si>
  <si>
    <t>VaR0.10</t>
  </si>
  <si>
    <t>Skewness</t>
  </si>
  <si>
    <t>Excess Kurtosis</t>
  </si>
  <si>
    <t>Jarque - Bera</t>
  </si>
  <si>
    <t>Weights</t>
  </si>
  <si>
    <t>(E(Rp)-Rf)/s(Rp)</t>
  </si>
  <si>
    <t>JB test</t>
  </si>
  <si>
    <t>Solver</t>
  </si>
  <si>
    <t>Solve</t>
  </si>
  <si>
    <t>solverdefaults</t>
  </si>
  <si>
    <t>go</t>
  </si>
  <si>
    <t>Use Automatic Scaling : Yes</t>
  </si>
  <si>
    <t>Derivatives : Forward</t>
  </si>
  <si>
    <t>Use Multistart: No</t>
  </si>
  <si>
    <t>Max Time :</t>
  </si>
  <si>
    <t>Iterations :</t>
  </si>
  <si>
    <t>Convergence :0.0001</t>
  </si>
  <si>
    <t>Precision :0.000001</t>
  </si>
  <si>
    <t>JNJ</t>
  </si>
  <si>
    <t>T</t>
  </si>
  <si>
    <t>IBM</t>
  </si>
  <si>
    <t>Shares count :3</t>
  </si>
  <si>
    <t>Seasons count :16</t>
  </si>
  <si>
    <t>Short Sales: No</t>
  </si>
  <si>
    <t>Stop chosen when the dblmaximum iteration limit was reached.</t>
  </si>
  <si>
    <t>Stop chosen when the dblmaximum time limit was reached.</t>
  </si>
  <si>
    <t>Stop chosen when the dblmaximum number of feasible [integer] solutions was reached.</t>
  </si>
  <si>
    <t>Stop chosen when the dblmaximum number of feasible [integer] subproblems was reached.</t>
  </si>
  <si>
    <t>Riskless rate : Does not apply</t>
  </si>
  <si>
    <t>Active management : No</t>
  </si>
  <si>
    <t>E(Rp)min =0.0325</t>
  </si>
  <si>
    <t>E(Rp)max =0.0362</t>
  </si>
  <si>
    <t>NA</t>
  </si>
  <si>
    <t>Points count :5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</si>
</sst>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0"/>
      <name val="Arial"/>
      <family val="2"/>
      <charset val="23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Protection="1">
      <protection locked="0"/>
    </xf>
    <xf numFmtId="0" fontId="0" fillId="0" borderId="0" xfId="0" applyBorder="1" applyProtection="1">
      <protection locked="0"/>
    </xf>
    <xf numFmtId="21" fontId="0" fillId="0" borderId="0" xfId="0" applyNumberFormat="1"/>
    <xf numFmtId="164" fontId="0" fillId="0" borderId="0" xfId="0" applyNumberFormat="1" applyBorder="1"/>
    <xf numFmtId="164" fontId="0" fillId="0" borderId="0" xfId="0" applyNumberFormat="1"/>
    <xf numFmtId="0" fontId="0" fillId="0" borderId="0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0" fontId="0" fillId="0" borderId="2" xfId="0" applyBorder="1"/>
    <xf numFmtId="164" fontId="0" fillId="0" borderId="3" xfId="0" applyNumberFormat="1" applyBorder="1"/>
    <xf numFmtId="164" fontId="0" fillId="0" borderId="2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0" fontId="0" fillId="0" borderId="6" xfId="0" applyBorder="1" applyAlignment="1">
      <alignment horizontal="center"/>
    </xf>
    <xf numFmtId="0" fontId="1" fillId="0" borderId="6" xfId="0" applyFont="1" applyBorder="1" applyProtection="1">
      <protection locked="0"/>
    </xf>
    <xf numFmtId="0" fontId="1" fillId="0" borderId="7" xfId="0" applyFont="1" applyBorder="1" applyProtection="1">
      <protection locked="0"/>
    </xf>
    <xf numFmtId="0" fontId="1" fillId="0" borderId="8" xfId="0" applyFont="1" applyBorder="1" applyProtection="1">
      <protection locked="0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5" fontId="0" fillId="0" borderId="0" xfId="0" applyNumberFormat="1" applyBorder="1"/>
    <xf numFmtId="1" fontId="0" fillId="0" borderId="0" xfId="0" applyNumberFormat="1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Border of Investment Opportunities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'Covariance Matrix'!$W$11:$W$19</c:f>
              <c:numCache>
                <c:formatCode>General</c:formatCode>
                <c:ptCount val="9"/>
                <c:pt idx="0">
                  <c:v>5.7016538646267607E-2</c:v>
                </c:pt>
                <c:pt idx="1">
                  <c:v>4.0276825004890826E-2</c:v>
                </c:pt>
                <c:pt idx="2">
                  <c:v>4.0849855854526398E-2</c:v>
                </c:pt>
                <c:pt idx="3">
                  <c:v>4.8569254942495116E-2</c:v>
                </c:pt>
                <c:pt idx="4">
                  <c:v>6.0770125088408206E-2</c:v>
                </c:pt>
                <c:pt idx="5">
                  <c:v>7.5081342653680716E-2</c:v>
                </c:pt>
                <c:pt idx="6">
                  <c:v>6.563838966438508E-2</c:v>
                </c:pt>
                <c:pt idx="7">
                  <c:v>7.5081342653680702E-2</c:v>
                </c:pt>
                <c:pt idx="8">
                  <c:v>5.7901379392384017E-2</c:v>
                </c:pt>
              </c:numCache>
            </c:numRef>
          </c:xVal>
          <c:yVal>
            <c:numRef>
              <c:f>'Covariance Matrix'!$X$11:$X$19</c:f>
              <c:numCache>
                <c:formatCode>General</c:formatCode>
                <c:ptCount val="9"/>
                <c:pt idx="0">
                  <c:v>3.2500000000000001E-2</c:v>
                </c:pt>
                <c:pt idx="1">
                  <c:v>3.3239999988581986E-2</c:v>
                </c:pt>
                <c:pt idx="2">
                  <c:v>3.3979999977163972E-2</c:v>
                </c:pt>
                <c:pt idx="3">
                  <c:v>3.4719999965745957E-2</c:v>
                </c:pt>
                <c:pt idx="4">
                  <c:v>3.5459999954327942E-2</c:v>
                </c:pt>
                <c:pt idx="5">
                  <c:v>3.6199999942909927E-2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9F-4765-9502-7F3D7C8C4B80}"/>
            </c:ext>
          </c:extLst>
        </c:ser>
        <c:ser>
          <c:idx val="1"/>
          <c:order val="1"/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C0504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pPr>
              <a:solidFill>
                <a:srgbClr val="C0504D"/>
              </a:solidFill>
              <a:ln w="9525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noFill/>
                    <a:prstDash val="solid"/>
                    <a:round/>
                  </a14:hiddenLine>
                </a:ext>
              </a:extLst>
            </c:spPr>
          </c:marker>
          <c:xVal>
            <c:numRef>
              <c:f>'Covariance Matrix'!$W$11:$W$19</c:f>
              <c:numCache>
                <c:formatCode>General</c:formatCode>
                <c:ptCount val="9"/>
                <c:pt idx="0">
                  <c:v>5.7016538646267607E-2</c:v>
                </c:pt>
                <c:pt idx="1">
                  <c:v>4.0276825004890826E-2</c:v>
                </c:pt>
                <c:pt idx="2">
                  <c:v>4.0849855854526398E-2</c:v>
                </c:pt>
                <c:pt idx="3">
                  <c:v>4.8569254942495116E-2</c:v>
                </c:pt>
                <c:pt idx="4">
                  <c:v>6.0770125088408206E-2</c:v>
                </c:pt>
                <c:pt idx="5">
                  <c:v>7.5081342653680716E-2</c:v>
                </c:pt>
                <c:pt idx="6">
                  <c:v>6.563838966438508E-2</c:v>
                </c:pt>
                <c:pt idx="7">
                  <c:v>7.5081342653680702E-2</c:v>
                </c:pt>
                <c:pt idx="8">
                  <c:v>5.7901379392384017E-2</c:v>
                </c:pt>
              </c:numCache>
            </c:numRef>
          </c:xVal>
          <c:yVal>
            <c:numRef>
              <c:f>'Covariance Matrix'!$Y$11:$Y$19</c:f>
              <c:numCache>
                <c:formatCode>General</c:formatCode>
                <c:ptCount val="9"/>
                <c:pt idx="6">
                  <c:v>3.4141567583156909E-2</c:v>
                </c:pt>
                <c:pt idx="7">
                  <c:v>3.6170768233171065E-2</c:v>
                </c:pt>
                <c:pt idx="8">
                  <c:v>3.2477578123292376E-2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9F-4765-9502-7F3D7C8C4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56256"/>
        <c:axId val="99083392"/>
      </c:scatterChart>
      <c:valAx>
        <c:axId val="99056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Risk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083392"/>
        <c:crosses val="autoZero"/>
        <c:crossBetween val="midCat"/>
      </c:valAx>
      <c:valAx>
        <c:axId val="990833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Expected Return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056256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7"/>
  <sheetViews>
    <sheetView zoomScale="95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1</xdr:row>
      <xdr:rowOff>66675</xdr:rowOff>
    </xdr:from>
    <xdr:to>
      <xdr:col>8</xdr:col>
      <xdr:colOff>333375</xdr:colOff>
      <xdr:row>5</xdr:row>
      <xdr:rowOff>114300</xdr:rowOff>
    </xdr:to>
    <xdr:sp macro="[0]!mainprocedure" textlink="">
      <xdr:nvSpPr>
        <xdr:cNvPr id="2" name="TextBox 1"/>
        <xdr:cNvSpPr txBox="1"/>
      </xdr:nvSpPr>
      <xdr:spPr>
        <a:xfrm>
          <a:off x="2771775" y="257175"/>
          <a:ext cx="2438400" cy="80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sk-SK" sz="1100"/>
        </a:p>
        <a:p>
          <a:pPr algn="l"/>
          <a:r>
            <a:rPr lang="sk-SK" sz="800"/>
            <a:t>Version 1.0</a:t>
          </a:r>
        </a:p>
        <a:p>
          <a:pPr algn="ctr"/>
          <a:r>
            <a:rPr lang="sk-SK" sz="2000"/>
            <a:t>MENU</a:t>
          </a:r>
        </a:p>
        <a:p>
          <a:endParaRPr lang="sk-SK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4586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I20"/>
  <sheetViews>
    <sheetView tabSelected="1" workbookViewId="0">
      <selection activeCell="C5" sqref="C5"/>
    </sheetView>
  </sheetViews>
  <sheetFormatPr defaultRowHeight="15" x14ac:dyDescent="0.25"/>
  <cols>
    <col min="1" max="1" width="27.140625" bestFit="1" customWidth="1"/>
  </cols>
  <sheetData>
    <row r="1" spans="1:61" x14ac:dyDescent="0.25">
      <c r="A1" t="s">
        <v>46</v>
      </c>
      <c r="K1" t="s">
        <v>48</v>
      </c>
    </row>
    <row r="2" spans="1:61" x14ac:dyDescent="0.25">
      <c r="A2" t="s">
        <v>47</v>
      </c>
      <c r="K2" t="s">
        <v>37</v>
      </c>
    </row>
    <row r="3" spans="1:61" x14ac:dyDescent="0.25">
      <c r="A3" t="s">
        <v>53</v>
      </c>
      <c r="K3" t="s">
        <v>38</v>
      </c>
    </row>
    <row r="4" spans="1:61" x14ac:dyDescent="0.25">
      <c r="A4" t="s">
        <v>58</v>
      </c>
      <c r="K4" t="s">
        <v>36</v>
      </c>
    </row>
    <row r="5" spans="1:61" x14ac:dyDescent="0.25">
      <c r="A5" t="s">
        <v>55</v>
      </c>
      <c r="K5" t="s">
        <v>39</v>
      </c>
    </row>
    <row r="6" spans="1:61" x14ac:dyDescent="0.25">
      <c r="A6" t="s">
        <v>56</v>
      </c>
      <c r="K6" t="s">
        <v>40</v>
      </c>
    </row>
    <row r="7" spans="1:61" x14ac:dyDescent="0.25">
      <c r="A7" t="s">
        <v>54</v>
      </c>
      <c r="E7" s="6">
        <v>0.50696759259259261</v>
      </c>
      <c r="F7" s="6">
        <v>0.50700231481481484</v>
      </c>
      <c r="G7" s="6">
        <f>F7-E7</f>
        <v>3.472222222222765E-5</v>
      </c>
      <c r="K7" t="s">
        <v>41</v>
      </c>
    </row>
    <row r="8" spans="1:61" x14ac:dyDescent="0.25">
      <c r="K8" t="s">
        <v>42</v>
      </c>
    </row>
    <row r="9" spans="1:61" x14ac:dyDescent="0.25">
      <c r="A9" s="2"/>
      <c r="B9" s="3" t="s">
        <v>1</v>
      </c>
      <c r="C9" s="2"/>
      <c r="D9" s="2"/>
      <c r="E9" s="2"/>
      <c r="F9" s="2"/>
      <c r="G9" s="2"/>
      <c r="H9" s="2"/>
      <c r="I9" s="2"/>
      <c r="J9" s="2"/>
      <c r="K9" s="3"/>
    </row>
    <row r="10" spans="1:61" x14ac:dyDescent="0.25">
      <c r="A10" s="2" t="s">
        <v>0</v>
      </c>
      <c r="B10" s="2" t="s">
        <v>2</v>
      </c>
      <c r="C10" s="2" t="s">
        <v>2</v>
      </c>
      <c r="D10" s="2" t="s">
        <v>2</v>
      </c>
      <c r="E10" s="2" t="s">
        <v>2</v>
      </c>
      <c r="F10" s="2" t="s">
        <v>2</v>
      </c>
      <c r="G10" s="2" t="s">
        <v>2</v>
      </c>
      <c r="H10" s="2" t="s">
        <v>2</v>
      </c>
      <c r="I10" s="2" t="s">
        <v>2</v>
      </c>
      <c r="J10" s="2" t="s">
        <v>2</v>
      </c>
      <c r="K10" s="2" t="s">
        <v>2</v>
      </c>
      <c r="L10" t="s">
        <v>3</v>
      </c>
    </row>
    <row r="11" spans="1:61" s="5" customFormat="1" x14ac:dyDescent="0.25">
      <c r="A11" s="4" t="s">
        <v>43</v>
      </c>
      <c r="B11">
        <v>-1.0220724149179072E-2</v>
      </c>
      <c r="C11">
        <v>-2.0616319444444198E-3</v>
      </c>
      <c r="D11">
        <v>0.10530103142240343</v>
      </c>
      <c r="E11">
        <v>0.16225257875662114</v>
      </c>
      <c r="F11">
        <v>5.2986936738588009E-2</v>
      </c>
      <c r="G11">
        <v>3.2429155932717002E-2</v>
      </c>
      <c r="H11">
        <v>7.3706475756589507E-2</v>
      </c>
      <c r="I11">
        <v>-3.5667963683527759E-3</v>
      </c>
      <c r="J11">
        <v>3.2992798526209954E-2</v>
      </c>
      <c r="K11">
        <v>2.6868178001679954E-3</v>
      </c>
      <c r="L11">
        <v>-5.5110220440882651E-3</v>
      </c>
      <c r="M11">
        <v>0.10950528071150645</v>
      </c>
      <c r="N11">
        <v>-5.431925705274232E-2</v>
      </c>
      <c r="O11">
        <v>0.1077251552795031</v>
      </c>
      <c r="P11">
        <v>-8.8464260438782749E-2</v>
      </c>
      <c r="Q11">
        <v>3.0822542403793562E-2</v>
      </c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</row>
    <row r="12" spans="1:61" s="5" customFormat="1" x14ac:dyDescent="0.25">
      <c r="A12" s="4" t="s">
        <v>44</v>
      </c>
      <c r="B12">
        <v>-3.4434490481522917E-2</v>
      </c>
      <c r="C12">
        <v>3.9883551673944639E-2</v>
      </c>
      <c r="D12">
        <v>-4.6363131593559204E-2</v>
      </c>
      <c r="E12">
        <v>8.9534180278281861E-2</v>
      </c>
      <c r="F12">
        <v>1.8798151001540919E-2</v>
      </c>
      <c r="G12">
        <v>-7.7076222980659637E-2</v>
      </c>
      <c r="H12">
        <v>0.16655607166556052</v>
      </c>
      <c r="I12">
        <v>0.13478915662650603</v>
      </c>
      <c r="J12">
        <v>1.8014564967420377E-2</v>
      </c>
      <c r="K12">
        <v>1.7153996101364477E-2</v>
      </c>
      <c r="L12">
        <v>-4.6822742474916468E-2</v>
      </c>
      <c r="M12">
        <v>0.14705882352941169</v>
      </c>
      <c r="N12">
        <v>-2.1276595744680771E-2</v>
      </c>
      <c r="O12">
        <v>0.11540251279664959</v>
      </c>
      <c r="P12">
        <v>1.3201320132013139E-2</v>
      </c>
      <c r="Q12">
        <v>4.4313146233382783E-2</v>
      </c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</row>
    <row r="13" spans="1:61" s="5" customFormat="1" x14ac:dyDescent="0.25">
      <c r="A13" s="4" t="s">
        <v>45</v>
      </c>
      <c r="B13">
        <v>4.0841514726507766E-2</v>
      </c>
      <c r="C13">
        <v>-7.6568409055587261E-2</v>
      </c>
      <c r="D13">
        <v>-3.2528067361668023E-2</v>
      </c>
      <c r="E13">
        <v>1.6064257028114426E-3</v>
      </c>
      <c r="F13">
        <v>4.842105263157892E-2</v>
      </c>
      <c r="G13">
        <v>-3.1479538300104304E-3</v>
      </c>
      <c r="H13">
        <v>-4.9613562702568004E-2</v>
      </c>
      <c r="I13">
        <v>7.9328346160056018E-2</v>
      </c>
      <c r="J13">
        <v>4.7406989853438608E-2</v>
      </c>
      <c r="K13">
        <v>1.9657431888723043E-2</v>
      </c>
      <c r="L13">
        <v>7.0843848095032858E-2</v>
      </c>
      <c r="M13">
        <v>5.7127984904678186E-2</v>
      </c>
      <c r="N13">
        <v>0.13315638133156393</v>
      </c>
      <c r="O13">
        <v>0.12397447584320864</v>
      </c>
      <c r="P13">
        <v>4.1452495440230663E-4</v>
      </c>
      <c r="Q13">
        <v>5.8720266830510015E-2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</row>
    <row r="14" spans="1:61" s="5" customFormat="1" x14ac:dyDescent="0.25">
      <c r="A14" s="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</row>
    <row r="15" spans="1:61" s="5" customFormat="1" x14ac:dyDescent="0.25">
      <c r="A15" s="4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</row>
    <row r="16" spans="1:61" s="5" customFormat="1" x14ac:dyDescent="0.25">
      <c r="A16" s="4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</row>
    <row r="17" spans="1:61" s="5" customFormat="1" x14ac:dyDescent="0.25">
      <c r="A17" s="4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</row>
    <row r="18" spans="1:61" s="5" customFormat="1" x14ac:dyDescent="0.25">
      <c r="A18" s="4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</row>
    <row r="19" spans="1:61" s="5" customFormat="1" x14ac:dyDescent="0.25">
      <c r="A19" s="4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</row>
    <row r="20" spans="1:61" s="5" customFormat="1" x14ac:dyDescent="0.25">
      <c r="A20" s="4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9:M1000"/>
  <sheetViews>
    <sheetView workbookViewId="0"/>
  </sheetViews>
  <sheetFormatPr defaultRowHeight="15" x14ac:dyDescent="0.25"/>
  <cols>
    <col min="1" max="1" width="17.5703125" style="1" bestFit="1" customWidth="1"/>
    <col min="2" max="2" width="7" style="1" bestFit="1" customWidth="1"/>
    <col min="3" max="3" width="10.42578125" style="1" bestFit="1" customWidth="1"/>
    <col min="4" max="4" width="18.140625" style="1" bestFit="1" customWidth="1"/>
    <col min="5" max="7" width="8" style="1" bestFit="1" customWidth="1"/>
    <col min="8" max="8" width="9.7109375" style="1" bestFit="1" customWidth="1"/>
    <col min="9" max="9" width="14.42578125" style="1" bestFit="1" customWidth="1"/>
    <col min="10" max="10" width="12.42578125" style="1" bestFit="1" customWidth="1"/>
    <col min="11" max="11" width="12.85546875" style="1" bestFit="1" customWidth="1"/>
    <col min="12" max="16384" width="9.140625" style="1"/>
  </cols>
  <sheetData>
    <row r="9" spans="1:13" x14ac:dyDescent="0.25">
      <c r="A9" s="10"/>
      <c r="B9" s="10"/>
      <c r="C9" s="10"/>
      <c r="D9" s="10"/>
      <c r="E9" s="11"/>
      <c r="F9" s="11"/>
      <c r="G9" s="11"/>
      <c r="H9" s="11"/>
      <c r="I9" s="11"/>
      <c r="J9" s="11">
        <f>CHIINV(0.05,2)</f>
        <v>5.9914645471079817</v>
      </c>
      <c r="K9" s="7"/>
    </row>
    <row r="10" spans="1:13" x14ac:dyDescent="0.25">
      <c r="A10" s="17" t="s">
        <v>0</v>
      </c>
      <c r="B10" s="21" t="s">
        <v>20</v>
      </c>
      <c r="C10" s="21" t="s">
        <v>21</v>
      </c>
      <c r="D10" s="21" t="s">
        <v>22</v>
      </c>
      <c r="E10" s="12" t="s">
        <v>23</v>
      </c>
      <c r="F10" s="12" t="s">
        <v>24</v>
      </c>
      <c r="G10" s="12" t="s">
        <v>25</v>
      </c>
      <c r="H10" s="12" t="s">
        <v>26</v>
      </c>
      <c r="I10" s="12" t="s">
        <v>27</v>
      </c>
      <c r="J10" s="12" t="s">
        <v>28</v>
      </c>
    </row>
    <row r="11" spans="1:13" x14ac:dyDescent="0.25">
      <c r="A11" s="18" t="s">
        <v>43</v>
      </c>
      <c r="B11" s="14">
        <v>3.4141567583156909E-2</v>
      </c>
      <c r="C11" s="14">
        <v>4.3083981977336538E-3</v>
      </c>
      <c r="D11" s="14">
        <v>6.563838966438508E-2</v>
      </c>
      <c r="E11" s="14">
        <v>-0.11855616066536891</v>
      </c>
      <c r="F11" s="14">
        <v>-7.3823975726746205E-2</v>
      </c>
      <c r="G11" s="14">
        <v>-4.9977413480954011E-2</v>
      </c>
      <c r="H11" s="14">
        <v>0.12750721460364997</v>
      </c>
      <c r="I11" s="14">
        <v>-0.63884185047519004</v>
      </c>
      <c r="J11" s="14">
        <v>0.31543417934832674</v>
      </c>
      <c r="K11" s="7"/>
      <c r="M11" s="28"/>
    </row>
    <row r="12" spans="1:13" x14ac:dyDescent="0.25">
      <c r="A12" s="19" t="s">
        <v>44</v>
      </c>
      <c r="B12" s="15">
        <v>3.6170768233171065E-2</v>
      </c>
      <c r="C12" s="15">
        <v>5.6372080146794134E-3</v>
      </c>
      <c r="D12" s="15">
        <v>7.5081342653680702E-2</v>
      </c>
      <c r="E12" s="15">
        <v>-0.13849455362628457</v>
      </c>
      <c r="F12" s="15">
        <v>-8.732705055076545E-2</v>
      </c>
      <c r="G12" s="15">
        <v>-6.0049844022036045E-2</v>
      </c>
      <c r="H12" s="15">
        <v>0.31992623310368601</v>
      </c>
      <c r="I12" s="15">
        <v>-1.1601796364653583</v>
      </c>
      <c r="J12" s="15">
        <v>1.1702853115870313</v>
      </c>
      <c r="K12" s="7"/>
      <c r="M12" s="28"/>
    </row>
    <row r="13" spans="1:13" x14ac:dyDescent="0.25">
      <c r="A13" s="20" t="s">
        <v>45</v>
      </c>
      <c r="B13" s="16">
        <v>3.2477578123292376E-2</v>
      </c>
      <c r="C13" s="16">
        <v>3.3525697355407929E-3</v>
      </c>
      <c r="D13" s="16">
        <v>5.7901379392384017E-2</v>
      </c>
      <c r="E13" s="16">
        <v>-0.1022211727278476</v>
      </c>
      <c r="F13" s="16">
        <v>-6.2761715778573535E-2</v>
      </c>
      <c r="G13" s="16">
        <v>-4.1726025310577494E-2</v>
      </c>
      <c r="H13" s="16">
        <v>-8.4987871179412602E-2</v>
      </c>
      <c r="I13" s="16">
        <v>-0.69243870614879732</v>
      </c>
      <c r="J13" s="16">
        <v>0.33890874317563613</v>
      </c>
      <c r="K13" s="7"/>
      <c r="M13" s="28"/>
    </row>
    <row r="14" spans="1:13" x14ac:dyDescent="0.25">
      <c r="A14" s="4"/>
    </row>
    <row r="15" spans="1:13" x14ac:dyDescent="0.25">
      <c r="A15" s="4"/>
    </row>
    <row r="16" spans="1:13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65003"/>
  <sheetViews>
    <sheetView workbookViewId="0">
      <selection activeCell="W17" sqref="W17:W19"/>
    </sheetView>
  </sheetViews>
  <sheetFormatPr defaultRowHeight="15" x14ac:dyDescent="0.25"/>
  <sheetData>
    <row r="1" spans="1:24" x14ac:dyDescent="0.25">
      <c r="A1">
        <v>4.3083981977336538E-3</v>
      </c>
      <c r="B1">
        <v>2.0823783056549382E-3</v>
      </c>
      <c r="C1">
        <v>-4.8426492440163622E-4</v>
      </c>
    </row>
    <row r="2" spans="1:24" x14ac:dyDescent="0.25">
      <c r="A2">
        <v>2.0823783056549382E-3</v>
      </c>
      <c r="B2">
        <v>5.6372080146794134E-3</v>
      </c>
      <c r="C2">
        <v>1.5564312136689016E-4</v>
      </c>
    </row>
    <row r="3" spans="1:24" x14ac:dyDescent="0.25">
      <c r="A3">
        <v>-4.8426492440163622E-4</v>
      </c>
      <c r="B3">
        <v>1.5564312136689016E-4</v>
      </c>
      <c r="C3">
        <v>3.3525697355407925E-3</v>
      </c>
    </row>
    <row r="11" spans="1:24" x14ac:dyDescent="0.25">
      <c r="W11">
        <v>5.7016538646267607E-2</v>
      </c>
      <c r="X11">
        <v>3.2500000000000001E-2</v>
      </c>
    </row>
    <row r="12" spans="1:24" x14ac:dyDescent="0.25">
      <c r="W12">
        <v>4.0276825004890826E-2</v>
      </c>
      <c r="X12">
        <v>3.3239999988581986E-2</v>
      </c>
    </row>
    <row r="13" spans="1:24" x14ac:dyDescent="0.25">
      <c r="W13">
        <v>4.0849855854526398E-2</v>
      </c>
      <c r="X13">
        <v>3.3979999977163972E-2</v>
      </c>
    </row>
    <row r="14" spans="1:24" x14ac:dyDescent="0.25">
      <c r="W14">
        <v>4.8569254942495116E-2</v>
      </c>
      <c r="X14">
        <v>3.4719999965745957E-2</v>
      </c>
    </row>
    <row r="15" spans="1:24" x14ac:dyDescent="0.25">
      <c r="W15">
        <v>6.0770125088408206E-2</v>
      </c>
      <c r="X15">
        <v>3.5459999954327942E-2</v>
      </c>
    </row>
    <row r="16" spans="1:24" x14ac:dyDescent="0.25">
      <c r="W16">
        <v>7.5081342653680716E-2</v>
      </c>
      <c r="X16">
        <v>3.6199999942909927E-2</v>
      </c>
    </row>
    <row r="17" spans="23:25" x14ac:dyDescent="0.25">
      <c r="W17">
        <v>6.563838966438508E-2</v>
      </c>
      <c r="Y17">
        <v>3.4141567583156909E-2</v>
      </c>
    </row>
    <row r="18" spans="23:25" x14ac:dyDescent="0.25">
      <c r="W18">
        <v>7.5081342653680702E-2</v>
      </c>
      <c r="Y18">
        <v>3.6170768233171065E-2</v>
      </c>
    </row>
    <row r="19" spans="23:25" x14ac:dyDescent="0.25">
      <c r="W19">
        <v>5.7901379392384017E-2</v>
      </c>
      <c r="Y19">
        <v>3.2477578123292376E-2</v>
      </c>
    </row>
    <row r="503" spans="1:15" x14ac:dyDescent="0.25">
      <c r="A503">
        <v>0</v>
      </c>
      <c r="E503">
        <v>3.4141567583156909E-2</v>
      </c>
      <c r="O503">
        <v>3.4141567583156909E-2</v>
      </c>
    </row>
    <row r="504" spans="1:15" x14ac:dyDescent="0.25">
      <c r="A504">
        <v>1.0000000000000002</v>
      </c>
      <c r="E504">
        <v>3.6170768233171065E-2</v>
      </c>
      <c r="O504">
        <v>3.6170768233171065E-2</v>
      </c>
    </row>
    <row r="505" spans="1:15" x14ac:dyDescent="0.25">
      <c r="A505">
        <v>0</v>
      </c>
      <c r="E505">
        <v>3.2477578123292376E-2</v>
      </c>
      <c r="O505">
        <v>3.2477578123292376E-2</v>
      </c>
    </row>
    <row r="506" spans="1:15" x14ac:dyDescent="0.25">
      <c r="G506" t="e">
        <f t="array" ref="G506">MMULT(TRANSPOSE(weightsi),ERicko)</f>
        <v>#NAME?</v>
      </c>
    </row>
    <row r="508" spans="1:15" x14ac:dyDescent="0.25">
      <c r="G508" t="e">
        <f t="array" ref="G508">SUM(weightsi)</f>
        <v>#NAME?</v>
      </c>
    </row>
    <row r="510" spans="1:15" x14ac:dyDescent="0.25">
      <c r="G510" t="e">
        <f t="array" ref="G510">MMULT(MMULT(TRANSPOSE(weightsi),ccko),weightsi)</f>
        <v>#NAME?</v>
      </c>
    </row>
    <row r="512" spans="1:15" x14ac:dyDescent="0.25">
      <c r="G512">
        <v>3.6199999942909927E-2</v>
      </c>
    </row>
    <row r="65000" spans="1:1" x14ac:dyDescent="0.25">
      <c r="A65000" t="s">
        <v>35</v>
      </c>
    </row>
    <row r="65001" spans="1:1" x14ac:dyDescent="0.25">
      <c r="A65001">
        <v>3.2477578123292376E-2</v>
      </c>
    </row>
    <row r="65002" spans="1:1" x14ac:dyDescent="0.25">
      <c r="A65002">
        <v>3.6170768233171065E-2</v>
      </c>
    </row>
    <row r="65003" spans="1:1" x14ac:dyDescent="0.25">
      <c r="A65003" t="s">
        <v>34</v>
      </c>
    </row>
  </sheetData>
  <sortState ref="O503:R506">
    <sortCondition ref="O503:O50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workbookViewId="0"/>
  </sheetViews>
  <sheetFormatPr defaultRowHeight="15" x14ac:dyDescent="0.25"/>
  <sheetData>
    <row r="1" spans="1:3" x14ac:dyDescent="0.25">
      <c r="A1" s="8">
        <v>1</v>
      </c>
      <c r="B1" s="8">
        <v>0.42254179716110229</v>
      </c>
      <c r="C1" s="8">
        <v>-0.12741959095001221</v>
      </c>
    </row>
    <row r="2" spans="1:3" x14ac:dyDescent="0.25">
      <c r="A2" s="8">
        <v>0.42254179716110229</v>
      </c>
      <c r="B2" s="8">
        <v>1</v>
      </c>
      <c r="C2" s="8">
        <v>3.5802140831947327E-2</v>
      </c>
    </row>
    <row r="3" spans="1:3" x14ac:dyDescent="0.25">
      <c r="A3" s="8">
        <v>-0.12741959095001221</v>
      </c>
      <c r="B3" s="8">
        <v>3.5802140831947327E-2</v>
      </c>
      <c r="C3" s="8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I16"/>
  <sheetViews>
    <sheetView workbookViewId="0"/>
  </sheetViews>
  <sheetFormatPr defaultRowHeight="15" x14ac:dyDescent="0.25"/>
  <cols>
    <col min="1" max="1" width="7" style="1" bestFit="1" customWidth="1"/>
    <col min="2" max="2" width="10.42578125" style="1" bestFit="1" customWidth="1"/>
    <col min="3" max="3" width="18.140625" style="1" bestFit="1" customWidth="1"/>
    <col min="4" max="4" width="15.28515625" style="1" bestFit="1" customWidth="1"/>
    <col min="5" max="5" width="6.7109375" style="1" bestFit="1" customWidth="1"/>
    <col min="6" max="6" width="8.28515625" style="1" bestFit="1" customWidth="1"/>
    <col min="7" max="9" width="6.5703125" style="1" bestFit="1" customWidth="1"/>
    <col min="10" max="16384" width="9.140625" style="1"/>
  </cols>
  <sheetData>
    <row r="5" spans="1:9" x14ac:dyDescent="0.25">
      <c r="I5" s="29"/>
    </row>
    <row r="6" spans="1:9" x14ac:dyDescent="0.25">
      <c r="I6" s="29"/>
    </row>
    <row r="7" spans="1:9" x14ac:dyDescent="0.25">
      <c r="I7" s="29"/>
    </row>
    <row r="8" spans="1:9" x14ac:dyDescent="0.25">
      <c r="I8" s="29"/>
    </row>
    <row r="9" spans="1:9" x14ac:dyDescent="0.25">
      <c r="A9" s="10"/>
      <c r="B9" s="23"/>
      <c r="C9" s="23"/>
      <c r="D9" s="23"/>
      <c r="E9" s="10">
        <f>CHIINV(0.05,2)</f>
        <v>5.9914645471079817</v>
      </c>
      <c r="F9" s="24" t="s">
        <v>29</v>
      </c>
      <c r="G9" s="24"/>
      <c r="H9" s="24"/>
      <c r="I9" s="29" t="s">
        <v>32</v>
      </c>
    </row>
    <row r="10" spans="1:9" x14ac:dyDescent="0.25">
      <c r="A10" s="17" t="s">
        <v>20</v>
      </c>
      <c r="B10" s="17" t="s">
        <v>21</v>
      </c>
      <c r="C10" s="17" t="s">
        <v>22</v>
      </c>
      <c r="D10" s="17" t="s">
        <v>30</v>
      </c>
      <c r="E10" s="17" t="s">
        <v>31</v>
      </c>
      <c r="F10" s="9" t="s">
        <v>43</v>
      </c>
      <c r="G10" s="9" t="s">
        <v>44</v>
      </c>
      <c r="H10" s="22" t="s">
        <v>45</v>
      </c>
      <c r="I10" s="29" t="s">
        <v>33</v>
      </c>
    </row>
    <row r="11" spans="1:9" x14ac:dyDescent="0.25">
      <c r="A11" s="25">
        <v>3.2500000000000001E-2</v>
      </c>
      <c r="B11" s="25">
        <v>3.2508856792013278E-3</v>
      </c>
      <c r="C11" s="25">
        <v>5.7016538646267607E-2</v>
      </c>
      <c r="D11" s="25" t="s">
        <v>57</v>
      </c>
      <c r="E11" s="25">
        <v>0.33358437426344489</v>
      </c>
      <c r="F11" s="13">
        <v>1.3455496695976767E-2</v>
      </c>
      <c r="G11" s="13">
        <v>0</v>
      </c>
      <c r="H11" s="14">
        <v>0.98654550330402313</v>
      </c>
      <c r="I11" s="29">
        <v>0</v>
      </c>
    </row>
    <row r="12" spans="1:9" x14ac:dyDescent="0.25">
      <c r="A12" s="26">
        <v>3.3239999988581986E-2</v>
      </c>
      <c r="B12" s="26">
        <v>1.6222226324745992E-3</v>
      </c>
      <c r="C12" s="26">
        <v>4.0276825004890826E-2</v>
      </c>
      <c r="D12" s="26" t="s">
        <v>57</v>
      </c>
      <c r="E12" s="26">
        <v>1.7247413174789498E-2</v>
      </c>
      <c r="F12" s="7">
        <v>0.38745066937126532</v>
      </c>
      <c r="G12" s="7">
        <v>3.1871647120556387E-2</v>
      </c>
      <c r="H12" s="15">
        <v>0.58067768350817817</v>
      </c>
      <c r="I12" s="29">
        <v>0</v>
      </c>
    </row>
    <row r="13" spans="1:9" x14ac:dyDescent="0.25">
      <c r="A13" s="26">
        <v>3.3979999977163972E-2</v>
      </c>
      <c r="B13" s="26">
        <v>1.6687107233355845E-3</v>
      </c>
      <c r="C13" s="26">
        <v>4.0849855854526398E-2</v>
      </c>
      <c r="D13" s="26" t="s">
        <v>57</v>
      </c>
      <c r="E13" s="26">
        <v>0.78657427471058672</v>
      </c>
      <c r="F13" s="7">
        <v>0.31600094331066853</v>
      </c>
      <c r="G13" s="7">
        <v>0.26443253885713253</v>
      </c>
      <c r="H13" s="15">
        <v>0.41956651783219873</v>
      </c>
      <c r="I13" s="29">
        <v>0</v>
      </c>
    </row>
    <row r="14" spans="1:9" x14ac:dyDescent="0.25">
      <c r="A14" s="26">
        <v>3.4719999965745957E-2</v>
      </c>
      <c r="B14" s="26">
        <v>2.3589725256690864E-3</v>
      </c>
      <c r="C14" s="26">
        <v>4.8569254942495116E-2</v>
      </c>
      <c r="D14" s="26" t="s">
        <v>57</v>
      </c>
      <c r="E14" s="26">
        <v>1.6603584738474237</v>
      </c>
      <c r="F14" s="7">
        <v>0.24455122363359227</v>
      </c>
      <c r="G14" s="7">
        <v>0.49699341105912848</v>
      </c>
      <c r="H14" s="15">
        <v>0.25845536530727931</v>
      </c>
      <c r="I14" s="29">
        <v>0</v>
      </c>
    </row>
    <row r="15" spans="1:9" x14ac:dyDescent="0.25">
      <c r="A15" s="27">
        <v>3.5459999954327942E-2</v>
      </c>
      <c r="B15" s="27">
        <v>3.6930081032607808E-3</v>
      </c>
      <c r="C15" s="27">
        <v>6.0770125088408206E-2</v>
      </c>
      <c r="D15" s="27" t="s">
        <v>57</v>
      </c>
      <c r="E15" s="27">
        <v>1.6005015091035957</v>
      </c>
      <c r="F15" s="11">
        <v>0.17310149933180904</v>
      </c>
      <c r="G15" s="11">
        <v>0.72955429583345399</v>
      </c>
      <c r="H15" s="16">
        <v>9.7344204834736686E-2</v>
      </c>
      <c r="I15" s="29">
        <v>0</v>
      </c>
    </row>
    <row r="16" spans="1:9" x14ac:dyDescent="0.25">
      <c r="A16" s="27">
        <v>3.6199999942909927E-2</v>
      </c>
      <c r="B16" s="27">
        <v>5.6372080146794151E-3</v>
      </c>
      <c r="C16" s="27">
        <v>7.5081342653680716E-2</v>
      </c>
      <c r="D16" s="27" t="s">
        <v>57</v>
      </c>
      <c r="E16" s="27">
        <v>1.1690654964161742</v>
      </c>
      <c r="F16" s="11">
        <v>0</v>
      </c>
      <c r="G16" s="11">
        <v>1.0000000000000002</v>
      </c>
      <c r="H16" s="16">
        <v>0</v>
      </c>
      <c r="I16" s="29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0"/>
  <sheetViews>
    <sheetView workbookViewId="0">
      <selection activeCell="B30" sqref="B30"/>
    </sheetView>
  </sheetViews>
  <sheetFormatPr defaultRowHeight="15" x14ac:dyDescent="0.25"/>
  <cols>
    <col min="1" max="1" width="3" bestFit="1" customWidth="1"/>
    <col min="2" max="2" width="84.85546875" bestFit="1" customWidth="1"/>
  </cols>
  <sheetData>
    <row r="1" spans="1:2" x14ac:dyDescent="0.25">
      <c r="A1">
        <v>0</v>
      </c>
      <c r="B1" t="s">
        <v>4</v>
      </c>
    </row>
    <row r="2" spans="1:2" x14ac:dyDescent="0.25">
      <c r="A2">
        <v>1</v>
      </c>
      <c r="B2" t="s">
        <v>5</v>
      </c>
    </row>
    <row r="3" spans="1:2" x14ac:dyDescent="0.25">
      <c r="A3">
        <v>2</v>
      </c>
      <c r="B3" t="s">
        <v>6</v>
      </c>
    </row>
    <row r="4" spans="1:2" x14ac:dyDescent="0.25">
      <c r="A4">
        <v>3</v>
      </c>
      <c r="B4" t="s">
        <v>49</v>
      </c>
    </row>
    <row r="5" spans="1:2" x14ac:dyDescent="0.25">
      <c r="A5">
        <v>4</v>
      </c>
      <c r="B5" t="s">
        <v>7</v>
      </c>
    </row>
    <row r="6" spans="1:2" x14ac:dyDescent="0.25">
      <c r="A6">
        <v>5</v>
      </c>
      <c r="B6" t="s">
        <v>8</v>
      </c>
    </row>
    <row r="7" spans="1:2" x14ac:dyDescent="0.25">
      <c r="A7">
        <v>6</v>
      </c>
      <c r="B7" t="s">
        <v>9</v>
      </c>
    </row>
    <row r="8" spans="1:2" x14ac:dyDescent="0.25">
      <c r="A8">
        <v>7</v>
      </c>
      <c r="B8" t="s">
        <v>10</v>
      </c>
    </row>
    <row r="9" spans="1:2" x14ac:dyDescent="0.25">
      <c r="A9">
        <v>8</v>
      </c>
      <c r="B9" t="s">
        <v>11</v>
      </c>
    </row>
    <row r="10" spans="1:2" x14ac:dyDescent="0.25">
      <c r="A10">
        <v>9</v>
      </c>
      <c r="B10" t="s">
        <v>12</v>
      </c>
    </row>
    <row r="11" spans="1:2" x14ac:dyDescent="0.25">
      <c r="A11">
        <v>10</v>
      </c>
      <c r="B11" t="s">
        <v>50</v>
      </c>
    </row>
    <row r="12" spans="1:2" x14ac:dyDescent="0.25">
      <c r="A12">
        <v>11</v>
      </c>
      <c r="B12" t="s">
        <v>13</v>
      </c>
    </row>
    <row r="13" spans="1:2" x14ac:dyDescent="0.25">
      <c r="A13">
        <v>13</v>
      </c>
      <c r="B13" t="s">
        <v>14</v>
      </c>
    </row>
    <row r="14" spans="1:2" x14ac:dyDescent="0.25">
      <c r="A14">
        <v>14</v>
      </c>
      <c r="B14" t="s">
        <v>15</v>
      </c>
    </row>
    <row r="15" spans="1:2" x14ac:dyDescent="0.25">
      <c r="A15">
        <v>15</v>
      </c>
      <c r="B15" t="s">
        <v>51</v>
      </c>
    </row>
    <row r="16" spans="1:2" x14ac:dyDescent="0.25">
      <c r="A16">
        <v>16</v>
      </c>
      <c r="B16" t="s">
        <v>52</v>
      </c>
    </row>
    <row r="17" spans="1:2" x14ac:dyDescent="0.25">
      <c r="A17">
        <v>17</v>
      </c>
      <c r="B17" t="s">
        <v>16</v>
      </c>
    </row>
    <row r="18" spans="1:2" x14ac:dyDescent="0.25">
      <c r="A18">
        <v>18</v>
      </c>
      <c r="B18" t="s">
        <v>17</v>
      </c>
    </row>
    <row r="19" spans="1:2" x14ac:dyDescent="0.25">
      <c r="A19">
        <v>19</v>
      </c>
      <c r="B19" t="s">
        <v>18</v>
      </c>
    </row>
    <row r="20" spans="1:2" x14ac:dyDescent="0.25">
      <c r="A20">
        <v>20</v>
      </c>
      <c r="B20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</vt:vector>
  </HeadingPairs>
  <TitlesOfParts>
    <vt:vector size="7" baseType="lpstr">
      <vt:lpstr>Inputs</vt:lpstr>
      <vt:lpstr>Return and Risk</vt:lpstr>
      <vt:lpstr>Covariance Matrix</vt:lpstr>
      <vt:lpstr>Correlation Coefficients</vt:lpstr>
      <vt:lpstr>Results</vt:lpstr>
      <vt:lpstr>Solver Solve</vt:lpstr>
      <vt:lpstr>Graph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Kahuna</dc:creator>
  <cp:lastModifiedBy>Martin</cp:lastModifiedBy>
  <dcterms:created xsi:type="dcterms:W3CDTF">2014-01-07T14:26:08Z</dcterms:created>
  <dcterms:modified xsi:type="dcterms:W3CDTF">2017-05-28T18:36:36Z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88070795-225f-4616-87b6-22e04b106f25</vt:lpwstr>
  </property>
</Properties>
</file>